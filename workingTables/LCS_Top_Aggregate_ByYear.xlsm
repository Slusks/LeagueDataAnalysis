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F:\LeagueStats\scraping\LeagueDataAnalysis\workingTables\"/>
    </mc:Choice>
  </mc:AlternateContent>
  <bookViews>
    <workbookView xWindow="0" yWindow="0" windowWidth="25815" windowHeight="12960" activeTab="3"/>
  </bookViews>
  <sheets>
    <sheet name="LCS_Top_Aggregate_ByYear" sheetId="1" r:id="rId1"/>
    <sheet name="Normalized" sheetId="2" r:id="rId2"/>
    <sheet name="Pivot" sheetId="4" r:id="rId3"/>
    <sheet name="Combined" sheetId="5" r:id="rId4"/>
  </sheets>
  <definedNames>
    <definedName name="_xlnm._FilterDatabase" localSheetId="3" hidden="1">Combined!$A$1:$AM$33</definedName>
  </definedNames>
  <calcPr calcId="152511"/>
  <fileRecoveryPr repairLoad="1"/>
</workbook>
</file>

<file path=xl/calcChain.xml><?xml version="1.0" encoding="utf-8"?>
<calcChain xmlns="http://schemas.openxmlformats.org/spreadsheetml/2006/main">
  <c r="I33" i="5" l="1"/>
  <c r="I32" i="5"/>
  <c r="I25" i="5"/>
  <c r="I24" i="5"/>
  <c r="I17" i="5"/>
  <c r="I16" i="5"/>
  <c r="I9" i="5"/>
  <c r="I8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H33" i="5"/>
  <c r="G33" i="5"/>
  <c r="F33" i="5"/>
  <c r="E33" i="5"/>
  <c r="D33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H32" i="5"/>
  <c r="G32" i="5"/>
  <c r="F32" i="5"/>
  <c r="E32" i="5"/>
  <c r="D32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H25" i="5"/>
  <c r="G25" i="5"/>
  <c r="F25" i="5"/>
  <c r="E25" i="5"/>
  <c r="D25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H24" i="5"/>
  <c r="G24" i="5"/>
  <c r="F24" i="5"/>
  <c r="E24" i="5"/>
  <c r="D24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H17" i="5"/>
  <c r="G17" i="5"/>
  <c r="F17" i="5"/>
  <c r="E17" i="5"/>
  <c r="D17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H16" i="5"/>
  <c r="G16" i="5"/>
  <c r="F16" i="5"/>
  <c r="E16" i="5"/>
  <c r="D16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H9" i="5"/>
  <c r="G9" i="5"/>
  <c r="F9" i="5"/>
  <c r="E9" i="5"/>
  <c r="D9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H8" i="5"/>
  <c r="G8" i="5"/>
  <c r="F8" i="5"/>
  <c r="E8" i="5"/>
  <c r="D8" i="5"/>
  <c r="H2" i="2" l="1"/>
  <c r="H3" i="2"/>
  <c r="H4" i="2"/>
  <c r="H5" i="2"/>
  <c r="H6" i="2"/>
  <c r="H7" i="2"/>
  <c r="H8" i="2"/>
  <c r="H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G9" i="2"/>
  <c r="F9" i="2"/>
  <c r="E9" i="2"/>
  <c r="D9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G8" i="2"/>
  <c r="F8" i="2"/>
  <c r="E8" i="2"/>
  <c r="D8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G7" i="2"/>
  <c r="F7" i="2"/>
  <c r="E7" i="2"/>
  <c r="D7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G6" i="2"/>
  <c r="F6" i="2"/>
  <c r="E6" i="2"/>
  <c r="D6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G5" i="2"/>
  <c r="F5" i="2"/>
  <c r="E5" i="2"/>
  <c r="D5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G4" i="2"/>
  <c r="F4" i="2"/>
  <c r="E4" i="2"/>
  <c r="D4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E3" i="2"/>
  <c r="D3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G2" i="2"/>
  <c r="F2" i="2"/>
  <c r="E2" i="2"/>
  <c r="D2" i="2"/>
</calcChain>
</file>

<file path=xl/sharedStrings.xml><?xml version="1.0" encoding="utf-8"?>
<sst xmlns="http://schemas.openxmlformats.org/spreadsheetml/2006/main" count="227" uniqueCount="44">
  <si>
    <t>player</t>
  </si>
  <si>
    <t>year</t>
  </si>
  <si>
    <t>result</t>
  </si>
  <si>
    <t>avg(kills)</t>
  </si>
  <si>
    <t>avg(deaths)</t>
  </si>
  <si>
    <t>avg(assists)</t>
  </si>
  <si>
    <t>avgKDA</t>
  </si>
  <si>
    <t>avg(earnedgoldshare)</t>
  </si>
  <si>
    <t>avg(damageshare)</t>
  </si>
  <si>
    <t>DamageSharePerGoldshare</t>
  </si>
  <si>
    <t>avgDealtDamagePerGoldEarnedRatio</t>
  </si>
  <si>
    <t>avg(total_cs)</t>
  </si>
  <si>
    <t>avg(goldearned)</t>
  </si>
  <si>
    <t>avg(damagetaken)</t>
  </si>
  <si>
    <t>avgAbsorbedDamagePerGoldEarnedRatio</t>
  </si>
  <si>
    <t>avg(totaldamagetoobjectives)</t>
  </si>
  <si>
    <t>avg(dpm)</t>
  </si>
  <si>
    <t>avg(gamelength)</t>
  </si>
  <si>
    <t>DPM_gamelengthNormalized</t>
  </si>
  <si>
    <t>avg(goldat10)</t>
  </si>
  <si>
    <t>avg(xpat10)</t>
  </si>
  <si>
    <t>avg(csat10)</t>
  </si>
  <si>
    <t>avg(opp_goldat10)</t>
  </si>
  <si>
    <t>avg(opp_xpat10)</t>
  </si>
  <si>
    <t>avg(opp_csat10)</t>
  </si>
  <si>
    <t>avg(golddiffat10)</t>
  </si>
  <si>
    <t>avg(xpdiffat10)</t>
  </si>
  <si>
    <t>avg(csdiffat10)</t>
  </si>
  <si>
    <t>avg(goldat15)</t>
  </si>
  <si>
    <t>avg(xpat15)</t>
  </si>
  <si>
    <t>avg(csat15)</t>
  </si>
  <si>
    <t>avg(opp_goldat15)</t>
  </si>
  <si>
    <t>avg(opp_xpat15)</t>
  </si>
  <si>
    <t>avg(opp_csat15)</t>
  </si>
  <si>
    <t>avg(golddiffat15)</t>
  </si>
  <si>
    <t>avg(xpdiffat15)</t>
  </si>
  <si>
    <t>avg(csdiffat15)</t>
  </si>
  <si>
    <t>Solo</t>
  </si>
  <si>
    <t>TheLCSTop</t>
  </si>
  <si>
    <t>Standard Deviation</t>
  </si>
  <si>
    <t>avg(killparticipation)</t>
  </si>
  <si>
    <t>Deviation</t>
  </si>
  <si>
    <t>PercentageKP</t>
  </si>
  <si>
    <t>Percentage_KP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</si>
</sst>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0" borderId="0" xfId="0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5"/>
  <sheetViews>
    <sheetView workbookViewId="0">
      <selection activeCell="I18" sqref="I18"/>
    </sheetView>
  </sheetViews>
  <sheetFormatPr defaultRowHeight="15" x14ac:dyDescent="0.25"/>
  <cols>
    <col min="5" max="6" width="12" bestFit="1" customWidth="1"/>
    <col min="7" max="7" width="9.140625" style="1"/>
    <col min="8" max="9" width="27.5703125" customWidth="1"/>
    <col min="10" max="10" width="20.7109375" style="1" bestFit="1" customWidth="1"/>
    <col min="11" max="11" width="17.5703125" bestFit="1" customWidth="1"/>
    <col min="12" max="12" width="25.7109375" style="1" bestFit="1" customWidth="1"/>
    <col min="13" max="13" width="34.5703125" style="1" bestFit="1" customWidth="1"/>
    <col min="14" max="14" width="12.28515625" bestFit="1" customWidth="1"/>
    <col min="15" max="15" width="15.7109375" bestFit="1" customWidth="1"/>
    <col min="16" max="16" width="17.7109375" bestFit="1" customWidth="1"/>
    <col min="17" max="17" width="38.5703125" bestFit="1" customWidth="1"/>
    <col min="18" max="18" width="28.140625" bestFit="1" customWidth="1"/>
    <col min="19" max="19" width="12" bestFit="1" customWidth="1"/>
    <col min="20" max="20" width="16.140625" bestFit="1" customWidth="1"/>
    <col min="21" max="21" width="27.5703125" bestFit="1" customWidth="1"/>
    <col min="22" max="22" width="13.140625" bestFit="1" customWidth="1"/>
    <col min="23" max="24" width="12" bestFit="1" customWidth="1"/>
    <col min="25" max="25" width="17.7109375" bestFit="1" customWidth="1"/>
    <col min="26" max="26" width="15.85546875" bestFit="1" customWidth="1"/>
    <col min="27" max="27" width="15.42578125" bestFit="1" customWidth="1"/>
    <col min="28" max="28" width="16.28515625" bestFit="1" customWidth="1"/>
    <col min="29" max="29" width="14.5703125" bestFit="1" customWidth="1"/>
    <col min="30" max="30" width="14.140625" bestFit="1" customWidth="1"/>
    <col min="31" max="31" width="13.140625" bestFit="1" customWidth="1"/>
    <col min="32" max="33" width="12" bestFit="1" customWidth="1"/>
    <col min="34" max="34" width="17.7109375" bestFit="1" customWidth="1"/>
    <col min="35" max="35" width="15.85546875" bestFit="1" customWidth="1"/>
    <col min="36" max="36" width="15.42578125" bestFit="1" customWidth="1"/>
    <col min="37" max="37" width="16.28515625" bestFit="1" customWidth="1"/>
    <col min="38" max="38" width="14.5703125" bestFit="1" customWidth="1"/>
    <col min="39" max="39" width="14.1406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40</v>
      </c>
      <c r="I1" t="s">
        <v>43</v>
      </c>
      <c r="J1" s="1" t="s">
        <v>7</v>
      </c>
      <c r="K1" t="s">
        <v>8</v>
      </c>
      <c r="L1" s="1" t="s">
        <v>9</v>
      </c>
      <c r="M1" s="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</row>
    <row r="2" spans="1:39" x14ac:dyDescent="0.25">
      <c r="A2" t="s">
        <v>37</v>
      </c>
      <c r="B2">
        <v>2018</v>
      </c>
      <c r="C2">
        <v>1</v>
      </c>
      <c r="D2">
        <v>0.66669999999999996</v>
      </c>
      <c r="E2">
        <v>0.66669999999999996</v>
      </c>
      <c r="F2">
        <v>3.6667000000000001</v>
      </c>
      <c r="G2" s="1">
        <v>2.5</v>
      </c>
      <c r="H2">
        <v>7.4074</v>
      </c>
      <c r="I2" s="2">
        <v>7.4074</v>
      </c>
      <c r="J2" s="1">
        <v>0.20085300505161199</v>
      </c>
      <c r="K2">
        <v>0.160547668735186</v>
      </c>
      <c r="L2" s="1">
        <v>0.81200647495031297</v>
      </c>
      <c r="M2" s="1">
        <v>30.071870371347</v>
      </c>
      <c r="N2">
        <v>310.66669999999999</v>
      </c>
      <c r="O2">
        <v>9601</v>
      </c>
      <c r="P2">
        <v>13813</v>
      </c>
      <c r="Q2">
        <v>1.4387000000000001</v>
      </c>
      <c r="R2">
        <v>3532</v>
      </c>
      <c r="S2">
        <v>285.35296122233001</v>
      </c>
      <c r="T2">
        <v>2207.3332999999998</v>
      </c>
      <c r="U2">
        <v>7.6318743844060304</v>
      </c>
      <c r="V2">
        <v>3375</v>
      </c>
      <c r="W2">
        <v>4685</v>
      </c>
      <c r="X2">
        <v>87.666700000000006</v>
      </c>
      <c r="Y2">
        <v>3315.3332999999998</v>
      </c>
      <c r="Z2">
        <v>4740</v>
      </c>
      <c r="AA2">
        <v>89.666700000000006</v>
      </c>
      <c r="AB2">
        <v>59.666699999999999</v>
      </c>
      <c r="AC2">
        <v>-55</v>
      </c>
      <c r="AD2">
        <v>-2</v>
      </c>
      <c r="AE2">
        <v>5097</v>
      </c>
      <c r="AF2">
        <v>7301.6666999999998</v>
      </c>
      <c r="AG2">
        <v>137.33330000000001</v>
      </c>
      <c r="AH2">
        <v>5187.3333000000002</v>
      </c>
      <c r="AI2">
        <v>7462.6666999999998</v>
      </c>
      <c r="AJ2">
        <v>142</v>
      </c>
      <c r="AK2">
        <v>-90.333299999999994</v>
      </c>
      <c r="AL2">
        <v>-161</v>
      </c>
      <c r="AM2">
        <v>-4.6666999999999996</v>
      </c>
    </row>
    <row r="3" spans="1:39" x14ac:dyDescent="0.25">
      <c r="A3" t="s">
        <v>37</v>
      </c>
      <c r="B3">
        <v>2018</v>
      </c>
      <c r="C3">
        <v>0</v>
      </c>
      <c r="D3">
        <v>1</v>
      </c>
      <c r="E3">
        <v>3.5</v>
      </c>
      <c r="F3">
        <v>1.8</v>
      </c>
      <c r="G3" s="1">
        <v>1.0933299999999999</v>
      </c>
      <c r="H3">
        <v>19.035710000000002</v>
      </c>
      <c r="I3" s="2">
        <v>19.035710000000002</v>
      </c>
      <c r="J3" s="1">
        <v>0.22935609668493201</v>
      </c>
      <c r="K3">
        <v>0.26249260008335101</v>
      </c>
      <c r="L3" s="1">
        <v>1.1319637796703299</v>
      </c>
      <c r="M3" s="1">
        <v>70.887510407601198</v>
      </c>
      <c r="N3">
        <v>296.3</v>
      </c>
      <c r="O3">
        <v>12928.8889</v>
      </c>
      <c r="P3">
        <v>30896.4444</v>
      </c>
      <c r="Q3">
        <v>2.2725777800000002</v>
      </c>
      <c r="R3">
        <v>3028.3332999999998</v>
      </c>
      <c r="S3">
        <v>393.40126800537098</v>
      </c>
      <c r="T3">
        <v>2176.4</v>
      </c>
      <c r="U3">
        <v>11.791930404704001</v>
      </c>
      <c r="V3">
        <v>3265.7</v>
      </c>
      <c r="W3">
        <v>4536.5</v>
      </c>
      <c r="X3">
        <v>80.7</v>
      </c>
      <c r="Y3">
        <v>3493.2</v>
      </c>
      <c r="Z3">
        <v>4669</v>
      </c>
      <c r="AA3">
        <v>80.099999999999994</v>
      </c>
      <c r="AB3">
        <v>-227.5</v>
      </c>
      <c r="AC3">
        <v>-132.5</v>
      </c>
      <c r="AD3">
        <v>0.6</v>
      </c>
      <c r="AE3">
        <v>4980.5</v>
      </c>
      <c r="AF3">
        <v>7163.3</v>
      </c>
      <c r="AG3">
        <v>130.6</v>
      </c>
      <c r="AH3">
        <v>5467.4</v>
      </c>
      <c r="AI3">
        <v>7460.2</v>
      </c>
      <c r="AJ3">
        <v>131.69999999999999</v>
      </c>
      <c r="AK3">
        <v>-486.9</v>
      </c>
      <c r="AL3">
        <v>-296.89999999999998</v>
      </c>
      <c r="AM3">
        <v>-1.1000000000000001</v>
      </c>
    </row>
    <row r="4" spans="1:39" x14ac:dyDescent="0.25">
      <c r="A4" t="s">
        <v>38</v>
      </c>
      <c r="B4">
        <v>2018</v>
      </c>
      <c r="C4">
        <v>1</v>
      </c>
      <c r="D4">
        <v>2.5160999999999998</v>
      </c>
      <c r="E4">
        <v>1.3548</v>
      </c>
      <c r="F4">
        <v>6.8387000000000002</v>
      </c>
      <c r="G4" s="1">
        <v>7.1195652200000001</v>
      </c>
      <c r="H4">
        <v>18.258787099999999</v>
      </c>
      <c r="I4" s="2">
        <v>18.258787099999999</v>
      </c>
      <c r="J4" s="1">
        <v>0.214451613926118</v>
      </c>
      <c r="K4">
        <v>0.21897622678549</v>
      </c>
      <c r="L4" s="1">
        <v>1.01639313615166</v>
      </c>
      <c r="M4" s="1">
        <v>69.928043245997401</v>
      </c>
      <c r="N4">
        <v>289.87099999999998</v>
      </c>
      <c r="O4">
        <v>13532.125</v>
      </c>
      <c r="P4">
        <v>23464.333299999998</v>
      </c>
      <c r="Q4">
        <v>1.6386958300000001</v>
      </c>
      <c r="R4">
        <v>7544.3333000000002</v>
      </c>
      <c r="S4">
        <v>454.29740659652202</v>
      </c>
      <c r="T4">
        <v>2086.0967999999998</v>
      </c>
      <c r="U4">
        <v>14.0124584607304</v>
      </c>
      <c r="V4">
        <v>3324.9355</v>
      </c>
      <c r="W4">
        <v>4550.3548000000001</v>
      </c>
      <c r="X4">
        <v>78.258099999999999</v>
      </c>
      <c r="Y4">
        <v>3316.8065000000001</v>
      </c>
      <c r="Z4">
        <v>4592.3226000000004</v>
      </c>
      <c r="AA4">
        <v>81.387100000000004</v>
      </c>
      <c r="AB4">
        <v>8.1289999999999996</v>
      </c>
      <c r="AC4">
        <v>-41.967700000000001</v>
      </c>
      <c r="AD4">
        <v>-3.129</v>
      </c>
      <c r="AE4">
        <v>5215.6129000000001</v>
      </c>
      <c r="AF4">
        <v>7185.7419</v>
      </c>
      <c r="AG4">
        <v>125.5806</v>
      </c>
      <c r="AH4">
        <v>5147.8387000000002</v>
      </c>
      <c r="AI4">
        <v>7234.7419</v>
      </c>
      <c r="AJ4">
        <v>130.35480000000001</v>
      </c>
      <c r="AK4">
        <v>67.774199999999993</v>
      </c>
      <c r="AL4">
        <v>-49</v>
      </c>
      <c r="AM4">
        <v>-4.7742000000000004</v>
      </c>
    </row>
    <row r="5" spans="1:39" x14ac:dyDescent="0.25">
      <c r="A5" t="s">
        <v>38</v>
      </c>
      <c r="B5">
        <v>2018</v>
      </c>
      <c r="C5">
        <v>0</v>
      </c>
      <c r="D5">
        <v>1.4</v>
      </c>
      <c r="E5">
        <v>3.12</v>
      </c>
      <c r="F5">
        <v>2.64</v>
      </c>
      <c r="G5" s="1">
        <v>1.5290520000000001</v>
      </c>
      <c r="H5">
        <v>17.741305000000001</v>
      </c>
      <c r="I5" s="2">
        <v>17.741305000000001</v>
      </c>
      <c r="J5" s="1">
        <v>0.228800880908966</v>
      </c>
      <c r="K5">
        <v>0.246601320505142</v>
      </c>
      <c r="L5" s="1">
        <v>1.0804378462672899</v>
      </c>
      <c r="M5" s="1">
        <v>73.494807668959893</v>
      </c>
      <c r="N5">
        <v>291.95999999999998</v>
      </c>
      <c r="O5">
        <v>12550.1667</v>
      </c>
      <c r="P5">
        <v>26492</v>
      </c>
      <c r="Q5">
        <v>2.12137222</v>
      </c>
      <c r="R5">
        <v>4703.2777999999998</v>
      </c>
      <c r="S5">
        <v>409.17498535156199</v>
      </c>
      <c r="T5">
        <v>2058.52</v>
      </c>
      <c r="U5">
        <v>11.936329758426799</v>
      </c>
      <c r="V5">
        <v>3199</v>
      </c>
      <c r="W5">
        <v>4566.2</v>
      </c>
      <c r="X5">
        <v>78.28</v>
      </c>
      <c r="Y5">
        <v>3258.76</v>
      </c>
      <c r="Z5">
        <v>4550.68</v>
      </c>
      <c r="AA5">
        <v>80.12</v>
      </c>
      <c r="AB5">
        <v>-59.76</v>
      </c>
      <c r="AC5">
        <v>15.52</v>
      </c>
      <c r="AD5">
        <v>-1.84</v>
      </c>
      <c r="AE5">
        <v>5042.92</v>
      </c>
      <c r="AF5">
        <v>7201.8</v>
      </c>
      <c r="AG5">
        <v>126.8</v>
      </c>
      <c r="AH5">
        <v>5142.6400000000003</v>
      </c>
      <c r="AI5">
        <v>7290.76</v>
      </c>
      <c r="AJ5">
        <v>130.68</v>
      </c>
      <c r="AK5">
        <v>-99.72</v>
      </c>
      <c r="AL5">
        <v>-88.96</v>
      </c>
      <c r="AM5">
        <v>-3.88</v>
      </c>
    </row>
    <row r="6" spans="1:39" x14ac:dyDescent="0.25">
      <c r="A6" t="s">
        <v>39</v>
      </c>
      <c r="B6">
        <v>2018</v>
      </c>
      <c r="C6">
        <v>1</v>
      </c>
      <c r="D6">
        <v>1.64357925198154</v>
      </c>
      <c r="E6">
        <v>1.4266673798384499</v>
      </c>
      <c r="F6">
        <v>3.4556804492495599</v>
      </c>
      <c r="G6" s="1">
        <v>4.6267591044881504</v>
      </c>
      <c r="H6">
        <v>11.6955129862245</v>
      </c>
      <c r="I6" s="2">
        <v>11.6955129862245</v>
      </c>
      <c r="J6" s="1">
        <v>2.3617167556558499E-2</v>
      </c>
      <c r="K6">
        <v>6.4150607535186005E-2</v>
      </c>
      <c r="L6" s="1">
        <v>0.25201029676772901</v>
      </c>
      <c r="M6" s="1">
        <v>18.4435956797365</v>
      </c>
      <c r="N6">
        <v>74.017758085250705</v>
      </c>
      <c r="O6">
        <v>3140.4296987368298</v>
      </c>
      <c r="P6">
        <v>17280.0939563096</v>
      </c>
      <c r="Q6">
        <v>0.65433976160029395</v>
      </c>
      <c r="R6">
        <v>5884.4638644673596</v>
      </c>
      <c r="S6">
        <v>141.50899951452601</v>
      </c>
      <c r="T6">
        <v>584.569560685395</v>
      </c>
      <c r="U6">
        <v>5.8328380887549303</v>
      </c>
      <c r="V6">
        <v>317.62708256633999</v>
      </c>
      <c r="W6">
        <v>366.829884840467</v>
      </c>
      <c r="X6">
        <v>13.205491873033001</v>
      </c>
      <c r="Y6">
        <v>329.217098618666</v>
      </c>
      <c r="Z6">
        <v>304.20116297382998</v>
      </c>
      <c r="AA6">
        <v>7.8562792611607399</v>
      </c>
      <c r="AB6">
        <v>550.23324918798403</v>
      </c>
      <c r="AC6">
        <v>534.50528733140095</v>
      </c>
      <c r="AD6">
        <v>13.9855730630598</v>
      </c>
      <c r="AE6">
        <v>541.54192506924198</v>
      </c>
      <c r="AF6">
        <v>658.16994411640303</v>
      </c>
      <c r="AG6">
        <v>18.923912494510599</v>
      </c>
      <c r="AH6">
        <v>467.41541216975099</v>
      </c>
      <c r="AI6">
        <v>570.196285826598</v>
      </c>
      <c r="AJ6">
        <v>12.797551144518399</v>
      </c>
      <c r="AK6">
        <v>903.81391567774403</v>
      </c>
      <c r="AL6">
        <v>911.51012593246503</v>
      </c>
      <c r="AM6">
        <v>20.590805460470101</v>
      </c>
    </row>
    <row r="7" spans="1:39" x14ac:dyDescent="0.25">
      <c r="A7" t="s">
        <v>39</v>
      </c>
      <c r="B7">
        <v>2018</v>
      </c>
      <c r="C7">
        <v>0</v>
      </c>
      <c r="D7">
        <v>1.13137084989847</v>
      </c>
      <c r="E7">
        <v>1.4232357499725701</v>
      </c>
      <c r="F7">
        <v>2.1143320458243999</v>
      </c>
      <c r="G7" s="1">
        <v>1.1318307366643201</v>
      </c>
      <c r="H7">
        <v>16.0320799216687</v>
      </c>
      <c r="I7" s="2">
        <v>16.0320799216687</v>
      </c>
      <c r="J7" s="1">
        <v>3.29377336855491E-2</v>
      </c>
      <c r="K7">
        <v>6.3295626433724106E-2</v>
      </c>
      <c r="L7" s="1">
        <v>0.240080636267438</v>
      </c>
      <c r="M7" s="1">
        <v>20.056476480505999</v>
      </c>
      <c r="N7">
        <v>64.572737281301599</v>
      </c>
      <c r="O7">
        <v>3240.9494365077599</v>
      </c>
      <c r="P7">
        <v>9913.6149029728003</v>
      </c>
      <c r="Q7">
        <v>0.65601758491018602</v>
      </c>
      <c r="R7">
        <v>5827.6200383800197</v>
      </c>
      <c r="S7">
        <v>137.17501652086301</v>
      </c>
      <c r="T7">
        <v>326.06013187754098</v>
      </c>
      <c r="U7">
        <v>3.1011890153095498</v>
      </c>
      <c r="V7">
        <v>161.308152304835</v>
      </c>
      <c r="W7">
        <v>217.26205375076401</v>
      </c>
      <c r="X7">
        <v>9.3659809950693305</v>
      </c>
      <c r="Y7">
        <v>211.905314704468</v>
      </c>
      <c r="Z7">
        <v>314.61210656934298</v>
      </c>
      <c r="AA7">
        <v>7.65934723067181</v>
      </c>
      <c r="AB7">
        <v>283.245657336524</v>
      </c>
      <c r="AC7">
        <v>320.32884603169902</v>
      </c>
      <c r="AD7">
        <v>10.634585088286199</v>
      </c>
      <c r="AE7">
        <v>326.64866998045397</v>
      </c>
      <c r="AF7">
        <v>369.68548794887698</v>
      </c>
      <c r="AG7">
        <v>11.4612390255155</v>
      </c>
      <c r="AH7">
        <v>361.76012826180801</v>
      </c>
      <c r="AI7">
        <v>398.00445022637598</v>
      </c>
      <c r="AJ7">
        <v>9.5946651843615598</v>
      </c>
      <c r="AK7">
        <v>558.84455942596401</v>
      </c>
      <c r="AL7">
        <v>460.69395307513997</v>
      </c>
      <c r="AM7">
        <v>12.700614158378301</v>
      </c>
    </row>
    <row r="8" spans="1:39" x14ac:dyDescent="0.25">
      <c r="A8" t="s">
        <v>37</v>
      </c>
      <c r="B8">
        <v>2019</v>
      </c>
      <c r="C8">
        <v>0</v>
      </c>
      <c r="D8">
        <v>1</v>
      </c>
      <c r="E8">
        <v>3</v>
      </c>
      <c r="F8">
        <v>2</v>
      </c>
      <c r="G8" s="1">
        <v>1.20835</v>
      </c>
      <c r="H8">
        <v>17.5</v>
      </c>
      <c r="I8" s="2">
        <v>17.5</v>
      </c>
      <c r="J8" s="1">
        <v>0.25383299589157099</v>
      </c>
      <c r="K8">
        <v>0.26339500024914703</v>
      </c>
      <c r="L8" s="1">
        <v>1.05350379445623</v>
      </c>
      <c r="M8" s="1">
        <v>53.951247422938202</v>
      </c>
      <c r="N8">
        <v>302</v>
      </c>
      <c r="O8">
        <v>12412</v>
      </c>
      <c r="P8">
        <v>19571</v>
      </c>
      <c r="Q8">
        <v>1.608975</v>
      </c>
      <c r="R8">
        <v>6291.75</v>
      </c>
      <c r="S8">
        <v>344.55829238891602</v>
      </c>
      <c r="T8">
        <v>1967.5</v>
      </c>
      <c r="U8">
        <v>12.0142366204013</v>
      </c>
      <c r="V8">
        <v>3183.25</v>
      </c>
      <c r="W8">
        <v>4584.5</v>
      </c>
      <c r="X8">
        <v>82.75</v>
      </c>
      <c r="Y8">
        <v>3253.5</v>
      </c>
      <c r="Z8">
        <v>4595</v>
      </c>
      <c r="AA8">
        <v>76.25</v>
      </c>
      <c r="AB8">
        <v>-70.25</v>
      </c>
      <c r="AC8">
        <v>-10.5</v>
      </c>
      <c r="AD8">
        <v>6.5</v>
      </c>
      <c r="AE8">
        <v>5243.75</v>
      </c>
      <c r="AF8">
        <v>7226.5</v>
      </c>
      <c r="AG8">
        <v>135.75</v>
      </c>
      <c r="AH8">
        <v>5135.75</v>
      </c>
      <c r="AI8">
        <v>7464</v>
      </c>
      <c r="AJ8">
        <v>128.75</v>
      </c>
      <c r="AK8">
        <v>108</v>
      </c>
      <c r="AL8">
        <v>-237.5</v>
      </c>
      <c r="AM8">
        <v>7</v>
      </c>
    </row>
    <row r="9" spans="1:39" x14ac:dyDescent="0.25">
      <c r="A9" t="s">
        <v>37</v>
      </c>
      <c r="B9">
        <v>2019</v>
      </c>
      <c r="C9">
        <v>1</v>
      </c>
      <c r="D9">
        <v>2.5</v>
      </c>
      <c r="E9">
        <v>3</v>
      </c>
      <c r="F9">
        <v>5</v>
      </c>
      <c r="G9" s="1">
        <v>4.7</v>
      </c>
      <c r="H9">
        <v>21.590900000000001</v>
      </c>
      <c r="I9" s="2">
        <v>21.590900000000001</v>
      </c>
      <c r="J9" s="1">
        <v>0.194611996412277</v>
      </c>
      <c r="K9">
        <v>0.19557200372219</v>
      </c>
      <c r="L9" s="1">
        <v>1.00478425182483</v>
      </c>
      <c r="M9" s="1">
        <v>65.189612936703298</v>
      </c>
      <c r="N9">
        <v>277.5</v>
      </c>
      <c r="O9">
        <v>12779</v>
      </c>
      <c r="P9">
        <v>17178</v>
      </c>
      <c r="Q9">
        <v>1.3366</v>
      </c>
      <c r="R9">
        <v>13420</v>
      </c>
      <c r="S9">
        <v>405.11024475097599</v>
      </c>
      <c r="T9">
        <v>2060</v>
      </c>
      <c r="U9">
        <v>12.0402051705452</v>
      </c>
      <c r="V9">
        <v>3455.5</v>
      </c>
      <c r="W9">
        <v>4990</v>
      </c>
      <c r="X9">
        <v>95</v>
      </c>
      <c r="Y9">
        <v>3336.5</v>
      </c>
      <c r="Z9">
        <v>4805</v>
      </c>
      <c r="AA9">
        <v>83</v>
      </c>
      <c r="AB9">
        <v>119</v>
      </c>
      <c r="AC9">
        <v>185</v>
      </c>
      <c r="AD9">
        <v>12</v>
      </c>
      <c r="AE9">
        <v>5271</v>
      </c>
      <c r="AF9">
        <v>7471.5</v>
      </c>
      <c r="AG9">
        <v>142</v>
      </c>
      <c r="AH9">
        <v>5331</v>
      </c>
      <c r="AI9">
        <v>7769.5</v>
      </c>
      <c r="AJ9">
        <v>134.5</v>
      </c>
      <c r="AK9">
        <v>-60</v>
      </c>
      <c r="AL9">
        <v>-298</v>
      </c>
      <c r="AM9">
        <v>7.5</v>
      </c>
    </row>
    <row r="10" spans="1:39" x14ac:dyDescent="0.25">
      <c r="A10" t="s">
        <v>38</v>
      </c>
      <c r="B10">
        <v>2019</v>
      </c>
      <c r="C10">
        <v>0</v>
      </c>
      <c r="D10">
        <v>1.3529</v>
      </c>
      <c r="E10">
        <v>2.7646999999999999</v>
      </c>
      <c r="F10">
        <v>2.1764999999999999</v>
      </c>
      <c r="G10" s="1">
        <v>1.4729125000000001</v>
      </c>
      <c r="H10">
        <v>18.860435290000002</v>
      </c>
      <c r="I10" s="2">
        <v>18.860435290000002</v>
      </c>
      <c r="J10" s="1">
        <v>0.22727140959571299</v>
      </c>
      <c r="K10">
        <v>0.23041317568105801</v>
      </c>
      <c r="L10" s="1">
        <v>1.0109560211792299</v>
      </c>
      <c r="M10" s="1">
        <v>61.555689093574401</v>
      </c>
      <c r="N10">
        <v>274.47059999999999</v>
      </c>
      <c r="O10">
        <v>12534.5625</v>
      </c>
      <c r="P10">
        <v>23211.25</v>
      </c>
      <c r="Q10">
        <v>1.8592124999999999</v>
      </c>
      <c r="R10">
        <v>5742.0625</v>
      </c>
      <c r="S10">
        <v>351.71413825539901</v>
      </c>
      <c r="T10">
        <v>2101.0587999999998</v>
      </c>
      <c r="U10">
        <v>10.2141432501754</v>
      </c>
      <c r="V10">
        <v>3197.8235</v>
      </c>
      <c r="W10">
        <v>4580.5294000000004</v>
      </c>
      <c r="X10">
        <v>76.882400000000004</v>
      </c>
      <c r="Y10">
        <v>3163.1765</v>
      </c>
      <c r="Z10">
        <v>4558.8824000000004</v>
      </c>
      <c r="AA10">
        <v>78.823499999999996</v>
      </c>
      <c r="AB10">
        <v>34.647100000000002</v>
      </c>
      <c r="AC10">
        <v>21.647099999999998</v>
      </c>
      <c r="AD10">
        <v>-1.9412</v>
      </c>
      <c r="AE10">
        <v>5057.8824000000004</v>
      </c>
      <c r="AF10">
        <v>7158.5882000000001</v>
      </c>
      <c r="AG10">
        <v>123</v>
      </c>
      <c r="AH10">
        <v>5182.5882000000001</v>
      </c>
      <c r="AI10">
        <v>7362.5294000000004</v>
      </c>
      <c r="AJ10">
        <v>128.11760000000001</v>
      </c>
      <c r="AK10">
        <v>-124.7059</v>
      </c>
      <c r="AL10">
        <v>-203.94120000000001</v>
      </c>
      <c r="AM10">
        <v>-5.1176000000000004</v>
      </c>
    </row>
    <row r="11" spans="1:39" x14ac:dyDescent="0.25">
      <c r="A11" t="s">
        <v>38</v>
      </c>
      <c r="B11">
        <v>2019</v>
      </c>
      <c r="C11">
        <v>1</v>
      </c>
      <c r="D11">
        <v>2.6842000000000001</v>
      </c>
      <c r="E11">
        <v>1.3158000000000001</v>
      </c>
      <c r="F11">
        <v>4.1578999999999997</v>
      </c>
      <c r="G11" s="1">
        <v>3.2916666700000001</v>
      </c>
      <c r="H11">
        <v>20.952915789999999</v>
      </c>
      <c r="I11" s="2">
        <v>20.952915789999999</v>
      </c>
      <c r="J11" s="1">
        <v>0.23548779048417701</v>
      </c>
      <c r="K11">
        <v>0.225849317092644</v>
      </c>
      <c r="L11" s="1">
        <v>0.953725615161786</v>
      </c>
      <c r="M11" s="1">
        <v>62.096601179447298</v>
      </c>
      <c r="N11">
        <v>313.57889999999998</v>
      </c>
      <c r="O11">
        <v>14886.1111</v>
      </c>
      <c r="P11">
        <v>21577.5</v>
      </c>
      <c r="Q11">
        <v>1.4394666700000001</v>
      </c>
      <c r="R11">
        <v>16224.2778</v>
      </c>
      <c r="S11">
        <v>426.142845555355</v>
      </c>
      <c r="T11">
        <v>2139.1053000000002</v>
      </c>
      <c r="U11">
        <v>12.2523468919512</v>
      </c>
      <c r="V11">
        <v>3212.1053000000002</v>
      </c>
      <c r="W11">
        <v>4626.5789000000004</v>
      </c>
      <c r="X11">
        <v>80.684200000000004</v>
      </c>
      <c r="Y11">
        <v>3176.3157999999999</v>
      </c>
      <c r="Z11">
        <v>4595.9474</v>
      </c>
      <c r="AA11">
        <v>77.8947</v>
      </c>
      <c r="AB11">
        <v>35.789499999999997</v>
      </c>
      <c r="AC11">
        <v>30.631599999999999</v>
      </c>
      <c r="AD11">
        <v>2.7894999999999999</v>
      </c>
      <c r="AE11">
        <v>5166.1053000000002</v>
      </c>
      <c r="AF11">
        <v>7419.5263000000004</v>
      </c>
      <c r="AG11">
        <v>130.05260000000001</v>
      </c>
      <c r="AH11">
        <v>5035.4736999999996</v>
      </c>
      <c r="AI11">
        <v>7166.2632000000003</v>
      </c>
      <c r="AJ11">
        <v>123.8421</v>
      </c>
      <c r="AK11">
        <v>130.63159999999999</v>
      </c>
      <c r="AL11">
        <v>253.26320000000001</v>
      </c>
      <c r="AM11">
        <v>6.2104999999999997</v>
      </c>
    </row>
    <row r="12" spans="1:39" x14ac:dyDescent="0.25">
      <c r="A12" t="s">
        <v>39</v>
      </c>
      <c r="B12">
        <v>2019</v>
      </c>
      <c r="C12">
        <v>0</v>
      </c>
      <c r="D12">
        <v>1.6066470922056</v>
      </c>
      <c r="E12">
        <v>1.4764588703542501</v>
      </c>
      <c r="F12">
        <v>2.1209125149788099</v>
      </c>
      <c r="G12" s="1">
        <v>1.2410355638795301</v>
      </c>
      <c r="H12">
        <v>25.932069147259899</v>
      </c>
      <c r="I12" s="2">
        <v>25.932069147259899</v>
      </c>
      <c r="J12" s="1">
        <v>3.31065156506858E-2</v>
      </c>
      <c r="K12">
        <v>6.9599748794559393E-2</v>
      </c>
      <c r="L12" s="1">
        <v>0.24105769855461001</v>
      </c>
      <c r="M12" s="1">
        <v>20.633900141513401</v>
      </c>
      <c r="N12">
        <v>46.0091009501621</v>
      </c>
      <c r="O12">
        <v>1842.0167266053099</v>
      </c>
      <c r="P12">
        <v>9752.9582210988592</v>
      </c>
      <c r="Q12">
        <v>0.75506540494516095</v>
      </c>
      <c r="R12">
        <v>4167.63376313151</v>
      </c>
      <c r="S12">
        <v>130.109823605862</v>
      </c>
      <c r="T12">
        <v>349.87434224778701</v>
      </c>
      <c r="U12">
        <v>3.91053828502403</v>
      </c>
      <c r="V12">
        <v>244.24270361649701</v>
      </c>
      <c r="W12">
        <v>274.46206587711902</v>
      </c>
      <c r="X12">
        <v>8.3164072626216097</v>
      </c>
      <c r="Y12">
        <v>220.12836770824401</v>
      </c>
      <c r="Z12">
        <v>231.31360997392599</v>
      </c>
      <c r="AA12">
        <v>9.3571947412461896</v>
      </c>
      <c r="AB12">
        <v>401.69331895284103</v>
      </c>
      <c r="AC12">
        <v>416.12709330860298</v>
      </c>
      <c r="AD12">
        <v>14.734795107201499</v>
      </c>
      <c r="AE12">
        <v>587.15734762076499</v>
      </c>
      <c r="AF12">
        <v>427.922073557864</v>
      </c>
      <c r="AG12">
        <v>11.381098882124901</v>
      </c>
      <c r="AH12">
        <v>593.484729851976</v>
      </c>
      <c r="AI12">
        <v>459.121554793634</v>
      </c>
      <c r="AJ12">
        <v>13.100886152969901</v>
      </c>
      <c r="AK12">
        <v>997.77439184628304</v>
      </c>
      <c r="AL12">
        <v>745.91337382143399</v>
      </c>
      <c r="AM12">
        <v>21.8521296658759</v>
      </c>
    </row>
    <row r="13" spans="1:39" x14ac:dyDescent="0.25">
      <c r="A13" t="s">
        <v>39</v>
      </c>
      <c r="B13">
        <v>2019</v>
      </c>
      <c r="C13">
        <v>1</v>
      </c>
      <c r="D13">
        <v>1.9208723779889101</v>
      </c>
      <c r="E13">
        <v>1.2587642887475099</v>
      </c>
      <c r="F13">
        <v>2.3678361850951499</v>
      </c>
      <c r="G13" s="1">
        <v>1.6317523527814699</v>
      </c>
      <c r="H13">
        <v>14.3646162628452</v>
      </c>
      <c r="I13" s="2">
        <v>14.3646162628452</v>
      </c>
      <c r="J13" s="1">
        <v>3.5236981962130598E-2</v>
      </c>
      <c r="K13">
        <v>6.8832750516637897E-2</v>
      </c>
      <c r="L13" s="1">
        <v>0.25770698906808398</v>
      </c>
      <c r="M13" s="1">
        <v>18.938812495705001</v>
      </c>
      <c r="N13">
        <v>62.431702295576898</v>
      </c>
      <c r="O13">
        <v>2811.7203687597998</v>
      </c>
      <c r="P13">
        <v>7473.0557653628002</v>
      </c>
      <c r="Q13">
        <v>0.40160108772925501</v>
      </c>
      <c r="R13">
        <v>10089.654882356501</v>
      </c>
      <c r="S13">
        <v>157.96172435609699</v>
      </c>
      <c r="T13">
        <v>322.26972925385297</v>
      </c>
      <c r="U13">
        <v>5.4121897462212303</v>
      </c>
      <c r="V13">
        <v>212.85500247248601</v>
      </c>
      <c r="W13">
        <v>256.00458790902701</v>
      </c>
      <c r="X13">
        <v>9.1424552246443103</v>
      </c>
      <c r="Y13">
        <v>220.84980669928899</v>
      </c>
      <c r="Z13">
        <v>267.35851618619699</v>
      </c>
      <c r="AA13">
        <v>7.6495251785364902</v>
      </c>
      <c r="AB13">
        <v>361.27691361371097</v>
      </c>
      <c r="AC13">
        <v>441.82947538451901</v>
      </c>
      <c r="AD13">
        <v>14.214814167911401</v>
      </c>
      <c r="AE13">
        <v>568.28355549495097</v>
      </c>
      <c r="AF13">
        <v>415.76832724373998</v>
      </c>
      <c r="AG13">
        <v>11.829818187020001</v>
      </c>
      <c r="AH13">
        <v>561.37372563542203</v>
      </c>
      <c r="AI13">
        <v>419.89871486814798</v>
      </c>
      <c r="AJ13">
        <v>10.8252295849957</v>
      </c>
      <c r="AK13">
        <v>946.38860442300199</v>
      </c>
      <c r="AL13">
        <v>736.106316842404</v>
      </c>
      <c r="AM13">
        <v>20.748060016778201</v>
      </c>
    </row>
    <row r="14" spans="1:39" x14ac:dyDescent="0.25">
      <c r="A14" t="s">
        <v>37</v>
      </c>
      <c r="B14">
        <v>2020</v>
      </c>
      <c r="C14">
        <v>0</v>
      </c>
      <c r="D14">
        <v>2</v>
      </c>
      <c r="E14">
        <v>4</v>
      </c>
      <c r="F14">
        <v>0</v>
      </c>
      <c r="G14" s="1">
        <v>0.5</v>
      </c>
      <c r="H14">
        <v>66.666700000000006</v>
      </c>
      <c r="I14" s="2">
        <v>66.666700000000006</v>
      </c>
      <c r="J14" s="1">
        <v>0.242158994078636</v>
      </c>
      <c r="K14">
        <v>0.219696000218391</v>
      </c>
      <c r="L14" s="1">
        <v>0.90723865555474503</v>
      </c>
      <c r="M14" s="1">
        <v>52.840608475197797</v>
      </c>
      <c r="N14">
        <v>203</v>
      </c>
      <c r="O14">
        <v>9160</v>
      </c>
      <c r="P14">
        <v>25513</v>
      </c>
      <c r="Q14">
        <v>2.7852999999999999</v>
      </c>
      <c r="R14">
        <v>5949</v>
      </c>
      <c r="S14">
        <v>292.28259277343699</v>
      </c>
      <c r="T14">
        <v>1656</v>
      </c>
      <c r="U14">
        <v>10.589949013530299</v>
      </c>
      <c r="V14">
        <v>3475</v>
      </c>
      <c r="W14">
        <v>4562</v>
      </c>
      <c r="X14">
        <v>80</v>
      </c>
      <c r="Y14">
        <v>2965</v>
      </c>
      <c r="Z14">
        <v>4109</v>
      </c>
      <c r="AA14">
        <v>70</v>
      </c>
      <c r="AB14">
        <v>510</v>
      </c>
      <c r="AC14">
        <v>453</v>
      </c>
      <c r="AD14">
        <v>10</v>
      </c>
      <c r="AE14">
        <v>4894</v>
      </c>
      <c r="AF14">
        <v>7221</v>
      </c>
      <c r="AG14">
        <v>123</v>
      </c>
      <c r="AH14">
        <v>5540</v>
      </c>
      <c r="AI14">
        <v>6952</v>
      </c>
      <c r="AJ14">
        <v>126</v>
      </c>
      <c r="AK14">
        <v>-646</v>
      </c>
      <c r="AL14">
        <v>269</v>
      </c>
      <c r="AM14">
        <v>-3</v>
      </c>
    </row>
    <row r="15" spans="1:39" x14ac:dyDescent="0.25">
      <c r="A15" t="s">
        <v>37</v>
      </c>
      <c r="B15">
        <v>2020</v>
      </c>
      <c r="C15">
        <v>1</v>
      </c>
      <c r="D15">
        <v>2.9091</v>
      </c>
      <c r="E15">
        <v>1.6364000000000001</v>
      </c>
      <c r="F15">
        <v>6</v>
      </c>
      <c r="G15" s="1">
        <v>6.7722222199999997</v>
      </c>
      <c r="H15">
        <v>18.695572729999999</v>
      </c>
      <c r="I15" s="2">
        <v>18.695572729999999</v>
      </c>
      <c r="J15" s="1">
        <v>0.22391872920773201</v>
      </c>
      <c r="K15">
        <v>0.21881727400151099</v>
      </c>
      <c r="L15" s="1">
        <v>0.96458444063378301</v>
      </c>
      <c r="M15" s="1">
        <v>64.438991951721803</v>
      </c>
      <c r="N15">
        <v>285.5455</v>
      </c>
      <c r="O15">
        <v>13945.6</v>
      </c>
      <c r="P15">
        <v>22711.1</v>
      </c>
      <c r="Q15">
        <v>1.6179399999999999</v>
      </c>
      <c r="R15">
        <v>10987</v>
      </c>
      <c r="S15">
        <v>417.69232732599397</v>
      </c>
      <c r="T15">
        <v>2140.9090999999999</v>
      </c>
      <c r="U15">
        <v>12.521949717081201</v>
      </c>
      <c r="V15">
        <v>3072.2727</v>
      </c>
      <c r="W15">
        <v>4527.6364000000003</v>
      </c>
      <c r="X15">
        <v>74.363600000000005</v>
      </c>
      <c r="Y15">
        <v>3248.5455000000002</v>
      </c>
      <c r="Z15">
        <v>4587.2727000000004</v>
      </c>
      <c r="AA15">
        <v>78.363600000000005</v>
      </c>
      <c r="AB15">
        <v>-176.27269999999999</v>
      </c>
      <c r="AC15">
        <v>-59.636400000000002</v>
      </c>
      <c r="AD15">
        <v>-4</v>
      </c>
      <c r="AE15">
        <v>4927.4544999999998</v>
      </c>
      <c r="AF15">
        <v>7288.6364000000003</v>
      </c>
      <c r="AG15">
        <v>123.0909</v>
      </c>
      <c r="AH15">
        <v>5214.1818000000003</v>
      </c>
      <c r="AI15">
        <v>7036.0909000000001</v>
      </c>
      <c r="AJ15">
        <v>120.0909</v>
      </c>
      <c r="AK15">
        <v>-286.72730000000001</v>
      </c>
      <c r="AL15">
        <v>252.5455</v>
      </c>
      <c r="AM15">
        <v>3</v>
      </c>
    </row>
    <row r="16" spans="1:39" x14ac:dyDescent="0.25">
      <c r="A16" t="s">
        <v>38</v>
      </c>
      <c r="B16">
        <v>2020</v>
      </c>
      <c r="C16">
        <v>1</v>
      </c>
      <c r="D16">
        <v>3.0588000000000002</v>
      </c>
      <c r="E16">
        <v>1.9412</v>
      </c>
      <c r="F16">
        <v>6.7647000000000004</v>
      </c>
      <c r="G16" s="1">
        <v>6.1288999999999998</v>
      </c>
      <c r="H16">
        <v>18.336547060000001</v>
      </c>
      <c r="I16" s="2">
        <v>18.336547060000001</v>
      </c>
      <c r="J16" s="1">
        <v>0.21965794089962401</v>
      </c>
      <c r="K16">
        <v>0.21850373508299001</v>
      </c>
      <c r="L16" s="1">
        <v>0.994785534168938</v>
      </c>
      <c r="M16" s="1">
        <v>71.239046648910303</v>
      </c>
      <c r="N16">
        <v>254.97059999999999</v>
      </c>
      <c r="O16">
        <v>13221</v>
      </c>
      <c r="P16">
        <v>24422.636399999999</v>
      </c>
      <c r="Q16">
        <v>1.7985151500000001</v>
      </c>
      <c r="R16">
        <v>11652.697</v>
      </c>
      <c r="S16">
        <v>475.13182067871003</v>
      </c>
      <c r="T16">
        <v>2001.9412</v>
      </c>
      <c r="U16">
        <v>14.6206330128099</v>
      </c>
      <c r="V16">
        <v>3270.0882000000001</v>
      </c>
      <c r="W16">
        <v>4506.5587999999998</v>
      </c>
      <c r="X16">
        <v>75</v>
      </c>
      <c r="Y16">
        <v>3183.6765</v>
      </c>
      <c r="Z16">
        <v>4449.9412000000002</v>
      </c>
      <c r="AA16">
        <v>73.676500000000004</v>
      </c>
      <c r="AB16">
        <v>86.411799999999999</v>
      </c>
      <c r="AC16">
        <v>56.617600000000003</v>
      </c>
      <c r="AD16">
        <v>1.3234999999999999</v>
      </c>
      <c r="AE16">
        <v>5304.0294000000004</v>
      </c>
      <c r="AF16">
        <v>7243.4705999999996</v>
      </c>
      <c r="AG16">
        <v>121.94119999999999</v>
      </c>
      <c r="AH16">
        <v>5052.6764999999996</v>
      </c>
      <c r="AI16">
        <v>7011.3528999999999</v>
      </c>
      <c r="AJ16">
        <v>119.0294</v>
      </c>
      <c r="AK16">
        <v>251.35290000000001</v>
      </c>
      <c r="AL16">
        <v>232.11760000000001</v>
      </c>
      <c r="AM16">
        <v>2.9117999999999999</v>
      </c>
    </row>
    <row r="17" spans="1:39" x14ac:dyDescent="0.25">
      <c r="A17" t="s">
        <v>38</v>
      </c>
      <c r="B17">
        <v>2020</v>
      </c>
      <c r="C17">
        <v>0</v>
      </c>
      <c r="D17">
        <v>1.1000000000000001</v>
      </c>
      <c r="E17">
        <v>2.7</v>
      </c>
      <c r="F17">
        <v>2</v>
      </c>
      <c r="G17" s="1">
        <v>1.5526315799999999</v>
      </c>
      <c r="H17">
        <v>20.219067500000001</v>
      </c>
      <c r="I17" s="2">
        <v>20.219067500000001</v>
      </c>
      <c r="J17" s="1">
        <v>0.227449747920036</v>
      </c>
      <c r="K17">
        <v>0.23242930024862199</v>
      </c>
      <c r="L17" s="1">
        <v>1.0398354820500999</v>
      </c>
      <c r="M17" s="1">
        <v>59.632453777018299</v>
      </c>
      <c r="N17">
        <v>240.35</v>
      </c>
      <c r="O17">
        <v>10648.7</v>
      </c>
      <c r="P17">
        <v>21936.400000000001</v>
      </c>
      <c r="Q17">
        <v>2.04392</v>
      </c>
      <c r="R17">
        <v>4639</v>
      </c>
      <c r="S17">
        <v>327.960304260253</v>
      </c>
      <c r="T17">
        <v>1910.85</v>
      </c>
      <c r="U17">
        <v>10.4277443510219</v>
      </c>
      <c r="V17">
        <v>3101.9</v>
      </c>
      <c r="W17">
        <v>4511.6499999999996</v>
      </c>
      <c r="X17">
        <v>74.05</v>
      </c>
      <c r="Y17">
        <v>3258.45</v>
      </c>
      <c r="Z17">
        <v>4603.25</v>
      </c>
      <c r="AA17">
        <v>73.5</v>
      </c>
      <c r="AB17">
        <v>-156.55000000000001</v>
      </c>
      <c r="AC17">
        <v>-91.6</v>
      </c>
      <c r="AD17">
        <v>0.55000000000000004</v>
      </c>
      <c r="AE17">
        <v>4789.2</v>
      </c>
      <c r="AF17">
        <v>6952.3</v>
      </c>
      <c r="AG17">
        <v>117.95</v>
      </c>
      <c r="AH17">
        <v>5063.5</v>
      </c>
      <c r="AI17">
        <v>7302.1</v>
      </c>
      <c r="AJ17">
        <v>120.55</v>
      </c>
      <c r="AK17">
        <v>-274.3</v>
      </c>
      <c r="AL17">
        <v>-349.8</v>
      </c>
      <c r="AM17">
        <v>-2.6</v>
      </c>
    </row>
    <row r="18" spans="1:39" x14ac:dyDescent="0.25">
      <c r="A18" t="s">
        <v>39</v>
      </c>
      <c r="B18">
        <v>2020</v>
      </c>
      <c r="C18">
        <v>1</v>
      </c>
      <c r="D18">
        <v>1.62591470130414</v>
      </c>
      <c r="E18">
        <v>1.53280167303475</v>
      </c>
      <c r="F18">
        <v>3.0103627251585801</v>
      </c>
      <c r="G18" s="1">
        <v>3.7274291013614702</v>
      </c>
      <c r="H18">
        <v>9.2319446584030693</v>
      </c>
      <c r="I18" s="2">
        <v>9.2319446584030693</v>
      </c>
      <c r="J18" s="1">
        <v>2.3902748045508501E-2</v>
      </c>
      <c r="K18">
        <v>5.70169372657887E-2</v>
      </c>
      <c r="L18" s="1">
        <v>0.23048612169750099</v>
      </c>
      <c r="M18" s="1">
        <v>21.243608049389199</v>
      </c>
      <c r="N18">
        <v>50.077284561622697</v>
      </c>
      <c r="O18">
        <v>2774.3835569747898</v>
      </c>
      <c r="P18">
        <v>11879.1907484249</v>
      </c>
      <c r="Q18">
        <v>0.59894925684144695</v>
      </c>
      <c r="R18">
        <v>5887.8953974406604</v>
      </c>
      <c r="S18">
        <v>147.17158982791801</v>
      </c>
      <c r="T18">
        <v>469.74999240374802</v>
      </c>
      <c r="U18">
        <v>4.4889195209507298</v>
      </c>
      <c r="V18">
        <v>295.35177108851201</v>
      </c>
      <c r="W18">
        <v>326.38638156210499</v>
      </c>
      <c r="X18">
        <v>9.7377373866707195</v>
      </c>
      <c r="Y18">
        <v>332.20535114401702</v>
      </c>
      <c r="Z18">
        <v>394.20574959071803</v>
      </c>
      <c r="AA18">
        <v>11.4653457099703</v>
      </c>
      <c r="AB18">
        <v>522.316509725836</v>
      </c>
      <c r="AC18">
        <v>517.02673811310297</v>
      </c>
      <c r="AD18">
        <v>13.553207973272601</v>
      </c>
      <c r="AE18">
        <v>627.81050369256502</v>
      </c>
      <c r="AF18">
        <v>515.67752322403703</v>
      </c>
      <c r="AG18">
        <v>14.098271017211299</v>
      </c>
      <c r="AH18">
        <v>668.75770344494299</v>
      </c>
      <c r="AI18">
        <v>586.27151320632299</v>
      </c>
      <c r="AJ18">
        <v>16.6247251974062</v>
      </c>
      <c r="AK18">
        <v>1155.8927510383901</v>
      </c>
      <c r="AL18">
        <v>828.40845866906898</v>
      </c>
      <c r="AM18">
        <v>21.249730305636401</v>
      </c>
    </row>
    <row r="19" spans="1:39" x14ac:dyDescent="0.25">
      <c r="A19" t="s">
        <v>39</v>
      </c>
      <c r="B19">
        <v>2020</v>
      </c>
      <c r="C19">
        <v>0</v>
      </c>
      <c r="D19">
        <v>1.1789826122551501</v>
      </c>
      <c r="E19">
        <v>1.5198684153570601</v>
      </c>
      <c r="F19">
        <v>1.7320508075688701</v>
      </c>
      <c r="G19" s="1">
        <v>1.53917900913463</v>
      </c>
      <c r="H19">
        <v>15.5411705897645</v>
      </c>
      <c r="I19" s="2">
        <v>15.5411705897645</v>
      </c>
      <c r="J19" s="1">
        <v>3.1962328583527697E-2</v>
      </c>
      <c r="K19">
        <v>5.4808548081983099E-2</v>
      </c>
      <c r="L19" s="1">
        <v>0.28224535374691201</v>
      </c>
      <c r="M19" s="1">
        <v>16.0620513253258</v>
      </c>
      <c r="N19">
        <v>54.0085872801723</v>
      </c>
      <c r="O19">
        <v>2512.9873875529101</v>
      </c>
      <c r="P19">
        <v>8691.2687129095193</v>
      </c>
      <c r="Q19">
        <v>0.51828157543227804</v>
      </c>
      <c r="R19">
        <v>4808.2268769266702</v>
      </c>
      <c r="S19">
        <v>86.659014217828499</v>
      </c>
      <c r="T19">
        <v>305.31987734178</v>
      </c>
      <c r="U19">
        <v>2.7444040480684699</v>
      </c>
      <c r="V19">
        <v>147.12304374230399</v>
      </c>
      <c r="W19">
        <v>382.90093692755499</v>
      </c>
      <c r="X19">
        <v>10.837319779354999</v>
      </c>
      <c r="Y19">
        <v>315.26504325725602</v>
      </c>
      <c r="Z19">
        <v>275.45777807133999</v>
      </c>
      <c r="AA19">
        <v>6.6520673478250298</v>
      </c>
      <c r="AB19">
        <v>344.00791778678501</v>
      </c>
      <c r="AC19">
        <v>482.587960894177</v>
      </c>
      <c r="AD19">
        <v>13.803894378036899</v>
      </c>
      <c r="AE19">
        <v>332.32372771139802</v>
      </c>
      <c r="AF19">
        <v>700.76373336524705</v>
      </c>
      <c r="AG19">
        <v>17.4827772393289</v>
      </c>
      <c r="AH19">
        <v>431.830232846196</v>
      </c>
      <c r="AI19">
        <v>444.91245206219997</v>
      </c>
      <c r="AJ19">
        <v>14.1932202124817</v>
      </c>
      <c r="AK19">
        <v>617.23764467180695</v>
      </c>
      <c r="AL19">
        <v>855.60648665142696</v>
      </c>
      <c r="AM19">
        <v>22.852570971337101</v>
      </c>
    </row>
    <row r="20" spans="1:39" x14ac:dyDescent="0.25">
      <c r="A20" t="s">
        <v>37</v>
      </c>
      <c r="B20">
        <v>2021</v>
      </c>
      <c r="C20">
        <v>1</v>
      </c>
      <c r="D20">
        <v>1</v>
      </c>
      <c r="E20">
        <v>3.5</v>
      </c>
      <c r="F20">
        <v>8.5</v>
      </c>
      <c r="G20" s="1">
        <v>3.1</v>
      </c>
      <c r="H20">
        <v>4.3478500000000002</v>
      </c>
      <c r="I20" s="2">
        <v>4.3478500000000002</v>
      </c>
      <c r="J20" s="1">
        <v>0.178752996027469</v>
      </c>
      <c r="K20">
        <v>0.182651996612548</v>
      </c>
      <c r="L20" s="1">
        <v>1.02140108333528</v>
      </c>
      <c r="M20" s="1">
        <v>86.173507244185899</v>
      </c>
      <c r="N20">
        <v>207</v>
      </c>
      <c r="O20">
        <v>10718.5</v>
      </c>
      <c r="P20">
        <v>23586</v>
      </c>
      <c r="Q20">
        <v>2.1384500000000002</v>
      </c>
      <c r="R20">
        <v>8876.5</v>
      </c>
      <c r="S20">
        <v>478.605712890625</v>
      </c>
      <c r="T20">
        <v>1923.5</v>
      </c>
      <c r="U20">
        <v>14.7039041247006</v>
      </c>
      <c r="V20">
        <v>3100</v>
      </c>
      <c r="W20">
        <v>4380.5</v>
      </c>
      <c r="X20">
        <v>78</v>
      </c>
      <c r="Y20">
        <v>3499</v>
      </c>
      <c r="Z20">
        <v>5029</v>
      </c>
      <c r="AA20">
        <v>93.5</v>
      </c>
      <c r="AB20">
        <v>-399</v>
      </c>
      <c r="AC20">
        <v>-648.5</v>
      </c>
      <c r="AD20">
        <v>-15.5</v>
      </c>
      <c r="AE20">
        <v>4827</v>
      </c>
      <c r="AF20">
        <v>7228.5</v>
      </c>
      <c r="AG20">
        <v>120.5</v>
      </c>
      <c r="AH20">
        <v>5128.5</v>
      </c>
      <c r="AI20">
        <v>7493</v>
      </c>
      <c r="AJ20">
        <v>131</v>
      </c>
      <c r="AK20">
        <v>-301.5</v>
      </c>
      <c r="AL20">
        <v>-264.5</v>
      </c>
      <c r="AM20">
        <v>-10.5</v>
      </c>
    </row>
    <row r="21" spans="1:39" x14ac:dyDescent="0.25">
      <c r="A21" t="s">
        <v>37</v>
      </c>
      <c r="B21">
        <v>2021</v>
      </c>
      <c r="C21">
        <v>0</v>
      </c>
      <c r="D21">
        <v>1.6667000000000001</v>
      </c>
      <c r="E21">
        <v>3.3332999999999999</v>
      </c>
      <c r="F21">
        <v>1</v>
      </c>
      <c r="G21" s="1">
        <v>0.77776666999999999</v>
      </c>
      <c r="H21">
        <v>33.333333330000002</v>
      </c>
      <c r="I21" s="2">
        <v>33.333333330000002</v>
      </c>
      <c r="J21" s="1">
        <v>0.24568133552869101</v>
      </c>
      <c r="K21">
        <v>0.29385400315125698</v>
      </c>
      <c r="L21" s="1">
        <v>1.21807437007847</v>
      </c>
      <c r="M21" s="1">
        <v>64.120940379555094</v>
      </c>
      <c r="N21">
        <v>248.66669999999999</v>
      </c>
      <c r="O21">
        <v>10638.3333</v>
      </c>
      <c r="P21">
        <v>29444</v>
      </c>
      <c r="Q21">
        <v>2.69703333</v>
      </c>
      <c r="R21">
        <v>3759</v>
      </c>
      <c r="S21">
        <v>384.49986775716098</v>
      </c>
      <c r="T21">
        <v>1760</v>
      </c>
      <c r="U21">
        <v>13.178723243008699</v>
      </c>
      <c r="V21">
        <v>3395.3332999999998</v>
      </c>
      <c r="W21">
        <v>4804</v>
      </c>
      <c r="X21">
        <v>87</v>
      </c>
      <c r="Y21">
        <v>3221</v>
      </c>
      <c r="Z21">
        <v>4463</v>
      </c>
      <c r="AA21">
        <v>76.666700000000006</v>
      </c>
      <c r="AB21">
        <v>174.33330000000001</v>
      </c>
      <c r="AC21">
        <v>341</v>
      </c>
      <c r="AD21">
        <v>10.333299999999999</v>
      </c>
      <c r="AE21">
        <v>5218.6666999999998</v>
      </c>
      <c r="AF21">
        <v>7273</v>
      </c>
      <c r="AG21">
        <v>133.66669999999999</v>
      </c>
      <c r="AH21">
        <v>5344</v>
      </c>
      <c r="AI21">
        <v>7290</v>
      </c>
      <c r="AJ21">
        <v>127.33329999999999</v>
      </c>
      <c r="AK21">
        <v>-125.33329999999999</v>
      </c>
      <c r="AL21">
        <v>-17</v>
      </c>
      <c r="AM21">
        <v>6.3333000000000004</v>
      </c>
    </row>
    <row r="22" spans="1:39" x14ac:dyDescent="0.25">
      <c r="A22" t="s">
        <v>38</v>
      </c>
      <c r="B22">
        <v>2021</v>
      </c>
      <c r="C22">
        <v>1</v>
      </c>
      <c r="D22">
        <v>2.9355000000000002</v>
      </c>
      <c r="E22">
        <v>1.5323</v>
      </c>
      <c r="F22">
        <v>7.1452</v>
      </c>
      <c r="G22" s="1">
        <v>5.15650488</v>
      </c>
      <c r="H22">
        <v>18.42071786</v>
      </c>
      <c r="I22" s="2">
        <v>18.42071786</v>
      </c>
      <c r="J22" s="1">
        <v>0.218295484661094</v>
      </c>
      <c r="K22">
        <v>0.212897353715473</v>
      </c>
      <c r="L22" s="1">
        <v>0.97595666427014105</v>
      </c>
      <c r="M22" s="1">
        <v>64.699023417353104</v>
      </c>
      <c r="N22">
        <v>267.82260000000002</v>
      </c>
      <c r="O22">
        <v>13699.789500000001</v>
      </c>
      <c r="P22">
        <v>22690.1754</v>
      </c>
      <c r="Q22">
        <v>1.6572280699999999</v>
      </c>
      <c r="R22">
        <v>12447.8421</v>
      </c>
      <c r="S22">
        <v>445.093993156186</v>
      </c>
      <c r="T22">
        <v>1981.7097000000001</v>
      </c>
      <c r="U22">
        <v>13.829314422539699</v>
      </c>
      <c r="V22">
        <v>3227.8386999999998</v>
      </c>
      <c r="W22">
        <v>4426.9677000000001</v>
      </c>
      <c r="X22">
        <v>74.645200000000003</v>
      </c>
      <c r="Y22">
        <v>3203.1774</v>
      </c>
      <c r="Z22">
        <v>4390.5968000000003</v>
      </c>
      <c r="AA22">
        <v>75.225800000000007</v>
      </c>
      <c r="AB22">
        <v>24.661300000000001</v>
      </c>
      <c r="AC22">
        <v>36.371000000000002</v>
      </c>
      <c r="AD22">
        <v>-0.5806</v>
      </c>
      <c r="AE22">
        <v>5127.5968000000003</v>
      </c>
      <c r="AF22">
        <v>7084.1935000000003</v>
      </c>
      <c r="AG22">
        <v>120.5968</v>
      </c>
      <c r="AH22">
        <v>5077.1129000000001</v>
      </c>
      <c r="AI22">
        <v>6870.4354999999996</v>
      </c>
      <c r="AJ22">
        <v>118.9194</v>
      </c>
      <c r="AK22">
        <v>50.483899999999998</v>
      </c>
      <c r="AL22">
        <v>213.75810000000001</v>
      </c>
      <c r="AM22">
        <v>1.6774</v>
      </c>
    </row>
    <row r="23" spans="1:39" x14ac:dyDescent="0.25">
      <c r="A23" t="s">
        <v>38</v>
      </c>
      <c r="B23">
        <v>2021</v>
      </c>
      <c r="C23">
        <v>0</v>
      </c>
      <c r="D23">
        <v>1.4194</v>
      </c>
      <c r="E23">
        <v>3.3226</v>
      </c>
      <c r="F23">
        <v>3.0644999999999998</v>
      </c>
      <c r="G23" s="1">
        <v>1.82084194</v>
      </c>
      <c r="H23">
        <v>19.548200000000001</v>
      </c>
      <c r="I23" s="2">
        <v>19.548200000000001</v>
      </c>
      <c r="J23" s="1">
        <v>0.23131479010466599</v>
      </c>
      <c r="K23">
        <v>0.24911059931881899</v>
      </c>
      <c r="L23" s="1">
        <v>1.06994771631602</v>
      </c>
      <c r="M23" s="1">
        <v>71.770149259998405</v>
      </c>
      <c r="N23">
        <v>254.16130000000001</v>
      </c>
      <c r="O23">
        <v>11959.6981</v>
      </c>
      <c r="P23">
        <v>23094.452799999999</v>
      </c>
      <c r="Q23">
        <v>1.9659452799999999</v>
      </c>
      <c r="R23">
        <v>6837.2263999999996</v>
      </c>
      <c r="S23">
        <v>415.54926632296599</v>
      </c>
      <c r="T23">
        <v>1981.7097000000001</v>
      </c>
      <c r="U23">
        <v>12.810229883439501</v>
      </c>
      <c r="V23">
        <v>3203.1774</v>
      </c>
      <c r="W23">
        <v>4390.5968000000003</v>
      </c>
      <c r="X23">
        <v>75.225800000000007</v>
      </c>
      <c r="Y23">
        <v>3227.8386999999998</v>
      </c>
      <c r="Z23">
        <v>4426.9677000000001</v>
      </c>
      <c r="AA23">
        <v>74.645200000000003</v>
      </c>
      <c r="AB23">
        <v>-24.661300000000001</v>
      </c>
      <c r="AC23">
        <v>-36.371000000000002</v>
      </c>
      <c r="AD23">
        <v>0.5806</v>
      </c>
      <c r="AE23">
        <v>5077.1129000000001</v>
      </c>
      <c r="AF23">
        <v>6870.4354999999996</v>
      </c>
      <c r="AG23">
        <v>118.9194</v>
      </c>
      <c r="AH23">
        <v>5127.5968000000003</v>
      </c>
      <c r="AI23">
        <v>7084.1935000000003</v>
      </c>
      <c r="AJ23">
        <v>120.5968</v>
      </c>
      <c r="AK23">
        <v>-50.483899999999998</v>
      </c>
      <c r="AL23">
        <v>-213.75810000000001</v>
      </c>
      <c r="AM23">
        <v>-1.6774</v>
      </c>
    </row>
    <row r="24" spans="1:39" x14ac:dyDescent="0.25">
      <c r="A24" t="s">
        <v>39</v>
      </c>
      <c r="B24">
        <v>2021</v>
      </c>
      <c r="C24">
        <v>1</v>
      </c>
      <c r="D24">
        <v>1.81277694428736</v>
      </c>
      <c r="E24">
        <v>1.3645008769070499</v>
      </c>
      <c r="F24">
        <v>3.0735435795309201</v>
      </c>
      <c r="G24" s="1">
        <v>2.4756397932061298</v>
      </c>
      <c r="H24">
        <v>10.029369910628199</v>
      </c>
      <c r="I24" s="2">
        <v>10.029369910628199</v>
      </c>
      <c r="J24" s="1">
        <v>3.64035844013927E-2</v>
      </c>
      <c r="K24">
        <v>6.1975239470217103E-2</v>
      </c>
      <c r="L24" s="1">
        <v>0.23550024149073001</v>
      </c>
      <c r="M24" s="1">
        <v>19.898967888863002</v>
      </c>
      <c r="N24">
        <v>66.2367513699905</v>
      </c>
      <c r="O24">
        <v>2655.46022533011</v>
      </c>
      <c r="P24">
        <v>8785.6308945251803</v>
      </c>
      <c r="Q24">
        <v>0.56339215807387499</v>
      </c>
      <c r="R24">
        <v>7237.7937822735903</v>
      </c>
      <c r="S24">
        <v>156.68247133642399</v>
      </c>
      <c r="T24">
        <v>331.90274455302603</v>
      </c>
      <c r="U24">
        <v>5.3692721293771397</v>
      </c>
      <c r="V24">
        <v>288.22427387357197</v>
      </c>
      <c r="W24">
        <v>444.30206114766298</v>
      </c>
      <c r="X24">
        <v>13.9793589476373</v>
      </c>
      <c r="Y24">
        <v>280.88308463139902</v>
      </c>
      <c r="Z24">
        <v>429.80987768702499</v>
      </c>
      <c r="AA24">
        <v>11.698386096075801</v>
      </c>
      <c r="AB24">
        <v>453.769727858652</v>
      </c>
      <c r="AC24">
        <v>456.52912968824</v>
      </c>
      <c r="AD24">
        <v>14.3510687329311</v>
      </c>
      <c r="AE24">
        <v>509.99995128644298</v>
      </c>
      <c r="AF24">
        <v>696.99988056438201</v>
      </c>
      <c r="AG24">
        <v>21.272775026688599</v>
      </c>
      <c r="AH24">
        <v>517.46722211415397</v>
      </c>
      <c r="AI24">
        <v>656.345026814986</v>
      </c>
      <c r="AJ24">
        <v>16.9898436331986</v>
      </c>
      <c r="AK24">
        <v>789.11998233098097</v>
      </c>
      <c r="AL24">
        <v>746.52914480806896</v>
      </c>
      <c r="AM24">
        <v>21.9873674828102</v>
      </c>
    </row>
    <row r="25" spans="1:39" x14ac:dyDescent="0.25">
      <c r="A25" t="s">
        <v>39</v>
      </c>
      <c r="B25">
        <v>2021</v>
      </c>
      <c r="C25">
        <v>0</v>
      </c>
      <c r="D25">
        <v>1.4761369275674201</v>
      </c>
      <c r="E25">
        <v>1.69224219981987</v>
      </c>
      <c r="F25">
        <v>2.7583946227654099</v>
      </c>
      <c r="G25" s="1">
        <v>2.07210894797237</v>
      </c>
      <c r="H25">
        <v>19.790834706635302</v>
      </c>
      <c r="I25" s="2">
        <v>19.790834706635302</v>
      </c>
      <c r="J25" s="1">
        <v>3.77832290096397E-2</v>
      </c>
      <c r="K25">
        <v>8.3027074413540305E-2</v>
      </c>
      <c r="L25" s="1">
        <v>0.29055313356433898</v>
      </c>
      <c r="M25" s="1">
        <v>22.860573089202799</v>
      </c>
      <c r="N25">
        <v>56.176620538345396</v>
      </c>
      <c r="O25">
        <v>2837.4272201448698</v>
      </c>
      <c r="P25">
        <v>7953.7505536958097</v>
      </c>
      <c r="Q25">
        <v>0.60438992384622703</v>
      </c>
      <c r="R25">
        <v>5801.1463006518197</v>
      </c>
      <c r="S25">
        <v>164.59841312236799</v>
      </c>
      <c r="T25">
        <v>331.90274455302603</v>
      </c>
      <c r="U25">
        <v>5.24289045750794</v>
      </c>
      <c r="V25">
        <v>280.88308463139902</v>
      </c>
      <c r="W25">
        <v>429.80987768702602</v>
      </c>
      <c r="X25">
        <v>11.698386096075801</v>
      </c>
      <c r="Y25">
        <v>288.22427387357197</v>
      </c>
      <c r="Z25">
        <v>444.30206114766298</v>
      </c>
      <c r="AA25">
        <v>13.9793589476373</v>
      </c>
      <c r="AB25">
        <v>453.769727858652</v>
      </c>
      <c r="AC25">
        <v>456.52912968824</v>
      </c>
      <c r="AD25">
        <v>14.3510687329311</v>
      </c>
      <c r="AE25">
        <v>517.46722211415295</v>
      </c>
      <c r="AF25">
        <v>656.34502681498702</v>
      </c>
      <c r="AG25">
        <v>16.9898436331986</v>
      </c>
      <c r="AH25">
        <v>509.99995128644298</v>
      </c>
      <c r="AI25">
        <v>696.99988056438201</v>
      </c>
      <c r="AJ25">
        <v>21.272775026688599</v>
      </c>
      <c r="AK25">
        <v>789.11998233098097</v>
      </c>
      <c r="AL25">
        <v>746.52914480806896</v>
      </c>
      <c r="AM25">
        <v>21.9873674828102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I14" sqref="I14"/>
    </sheetView>
  </sheetViews>
  <sheetFormatPr defaultRowHeight="15" x14ac:dyDescent="0.25"/>
  <cols>
    <col min="8" max="9" width="21.42578125" customWidth="1"/>
    <col min="11" max="11" width="16.28515625" customWidth="1"/>
    <col min="12" max="12" width="27.7109375" customWidth="1"/>
    <col min="13" max="13" width="19.28515625" customWidth="1"/>
    <col min="32" max="33" width="12.7109375" bestFit="1" customWidth="1"/>
    <col min="34" max="34" width="17.7109375" bestFit="1" customWidth="1"/>
    <col min="37" max="37" width="16.28515625" bestFit="1" customWidth="1"/>
    <col min="38" max="38" width="14.5703125" bestFit="1" customWidth="1"/>
    <col min="39" max="39" width="14.14062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</v>
      </c>
      <c r="I1" t="s">
        <v>43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</row>
    <row r="2" spans="1:39" x14ac:dyDescent="0.25">
      <c r="A2" t="s">
        <v>37</v>
      </c>
      <c r="B2">
        <v>2018</v>
      </c>
      <c r="C2">
        <v>1</v>
      </c>
      <c r="D2">
        <f>(LCS_Top_Aggregate_ByYear!D2-LCS_Top_Aggregate_ByYear!D4)/LCS_Top_Aggregate_ByYear!D6</f>
        <v>-1.125227151517225</v>
      </c>
      <c r="E2">
        <f>(LCS_Top_Aggregate_ByYear!E2-LCS_Top_Aggregate_ByYear!E4)/LCS_Top_Aggregate_ByYear!E6</f>
        <v>-0.48231284301034327</v>
      </c>
      <c r="F2">
        <f>(LCS_Top_Aggregate_ByYear!F2-LCS_Top_Aggregate_ByYear!F4)/LCS_Top_Aggregate_ByYear!F6</f>
        <v>-0.91790894632309994</v>
      </c>
      <c r="G2">
        <f>(LCS_Top_Aggregate_ByYear!G2-LCS_Top_Aggregate_ByYear!G4)/LCS_Top_Aggregate_ByYear!G6</f>
        <v>-0.99844515689585567</v>
      </c>
      <c r="H2">
        <f>(LCS_Top_Aggregate_ByYear!H2-LCS_Top_Aggregate_ByYear!H4)/LCS_Top_Aggregate_ByYear!H6</f>
        <v>-0.92782480877762696</v>
      </c>
      <c r="I2">
        <v>-0.92782480877762696</v>
      </c>
      <c r="J2">
        <f>(LCS_Top_Aggregate_ByYear!J2-LCS_Top_Aggregate_ByYear!J4)/LCS_Top_Aggregate_ByYear!J6</f>
        <v>-0.57579338597399532</v>
      </c>
      <c r="K2">
        <f>(LCS_Top_Aggregate_ByYear!K2-LCS_Top_Aggregate_ByYear!K4)/LCS_Top_Aggregate_ByYear!K6</f>
        <v>-0.91080287927525061</v>
      </c>
      <c r="L2">
        <f>(LCS_Top_Aggregate_ByYear!L2-LCS_Top_Aggregate_ByYear!L4)/LCS_Top_Aggregate_ByYear!L6</f>
        <v>-0.81102504073365167</v>
      </c>
      <c r="M2">
        <f>(LCS_Top_Aggregate_ByYear!M2-LCS_Top_Aggregate_ByYear!M4)/LCS_Top_Aggregate_ByYear!M6</f>
        <v>-2.160976285033148</v>
      </c>
      <c r="N2">
        <f>(LCS_Top_Aggregate_ByYear!N2-LCS_Top_Aggregate_ByYear!N4)/LCS_Top_Aggregate_ByYear!N6</f>
        <v>0.2809555509104768</v>
      </c>
      <c r="O2">
        <f>(LCS_Top_Aggregate_ByYear!O2-LCS_Top_Aggregate_ByYear!O4)/LCS_Top_Aggregate_ByYear!O6</f>
        <v>-1.2517793350321487</v>
      </c>
      <c r="P2">
        <f>(LCS_Top_Aggregate_ByYear!P2-LCS_Top_Aggregate_ByYear!P4)/LCS_Top_Aggregate_ByYear!P6</f>
        <v>-0.55852319578829257</v>
      </c>
      <c r="Q2">
        <f>(LCS_Top_Aggregate_ByYear!Q2-LCS_Top_Aggregate_ByYear!Q4)/LCS_Top_Aggregate_ByYear!Q6</f>
        <v>-0.30564523468798194</v>
      </c>
      <c r="R2">
        <f>(LCS_Top_Aggregate_ByYear!R2-LCS_Top_Aggregate_ByYear!R4)/LCS_Top_Aggregate_ByYear!R6</f>
        <v>-0.68185197367393169</v>
      </c>
      <c r="S2">
        <f>(LCS_Top_Aggregate_ByYear!S2-LCS_Top_Aggregate_ByYear!S4)/LCS_Top_Aggregate_ByYear!S6</f>
        <v>-1.1938777459651937</v>
      </c>
      <c r="T2">
        <f>(LCS_Top_Aggregate_ByYear!T2-LCS_Top_Aggregate_ByYear!T4)/LCS_Top_Aggregate_ByYear!T6</f>
        <v>0.20739447989363805</v>
      </c>
      <c r="U2">
        <f>(LCS_Top_Aggregate_ByYear!U2-LCS_Top_Aggregate_ByYear!U4)/LCS_Top_Aggregate_ByYear!U6</f>
        <v>-1.0939072847959612</v>
      </c>
      <c r="V2">
        <f>(LCS_Top_Aggregate_ByYear!V2-LCS_Top_Aggregate_ByYear!V4)/LCS_Top_Aggregate_ByYear!V6</f>
        <v>0.15762037542734858</v>
      </c>
      <c r="W2">
        <f>(LCS_Top_Aggregate_ByYear!W2-LCS_Top_Aggregate_ByYear!W4)/LCS_Top_Aggregate_ByYear!W6</f>
        <v>0.36705079265435708</v>
      </c>
      <c r="X2">
        <f>(LCS_Top_Aggregate_ByYear!X2-LCS_Top_Aggregate_ByYear!X4)/LCS_Top_Aggregate_ByYear!X6</f>
        <v>0.71247630080431568</v>
      </c>
      <c r="Y2">
        <f>(LCS_Top_Aggregate_ByYear!Y2-LCS_Top_Aggregate_ByYear!Y4)/LCS_Top_Aggregate_ByYear!Y6</f>
        <v>-4.4748587062507852E-3</v>
      </c>
      <c r="Z2">
        <f>(LCS_Top_Aggregate_ByYear!Z2-LCS_Top_Aggregate_ByYear!Z4)/LCS_Top_Aggregate_ByYear!Z6</f>
        <v>0.48545968252167421</v>
      </c>
      <c r="AA2">
        <f>(LCS_Top_Aggregate_ByYear!AA2-LCS_Top_Aggregate_ByYear!AA4)/LCS_Top_Aggregate_ByYear!AA6</f>
        <v>1.053883107354908</v>
      </c>
      <c r="AB2">
        <f>(LCS_Top_Aggregate_ByYear!AB2-LCS_Top_Aggregate_ByYear!AB4)/LCS_Top_Aggregate_ByYear!AB6</f>
        <v>9.3665186675028503E-2</v>
      </c>
      <c r="AC2">
        <f>(LCS_Top_Aggregate_ByYear!AC2-LCS_Top_Aggregate_ByYear!AC4)/LCS_Top_Aggregate_ByYear!AC6</f>
        <v>-2.4381985190578267E-2</v>
      </c>
      <c r="AD2">
        <f>(LCS_Top_Aggregate_ByYear!AD2-LCS_Top_Aggregate_ByYear!AD4)/LCS_Top_Aggregate_ByYear!AD6</f>
        <v>8.072604496858525E-2</v>
      </c>
      <c r="AE2">
        <f>(LCS_Top_Aggregate_ByYear!AE2-LCS_Top_Aggregate_ByYear!AE4)/LCS_Top_Aggregate_ByYear!AE6</f>
        <v>-0.21902810199752151</v>
      </c>
      <c r="AF2">
        <f>(LCS_Top_Aggregate_ByYear!AF2-LCS_Top_Aggregate_ByYear!AF4)/LCS_Top_Aggregate_ByYear!AF6</f>
        <v>0.17613201732514464</v>
      </c>
      <c r="AG2">
        <f>(LCS_Top_Aggregate_ByYear!AG2-LCS_Top_Aggregate_ByYear!AG4)/LCS_Top_Aggregate_ByYear!AG6</f>
        <v>0.62105021905006152</v>
      </c>
      <c r="AH2">
        <f>(LCS_Top_Aggregate_ByYear!AH2-LCS_Top_Aggregate_ByYear!AH4)/LCS_Top_Aggregate_ByYear!AH6</f>
        <v>8.449571616961736E-2</v>
      </c>
      <c r="AI2">
        <f>(LCS_Top_Aggregate_ByYear!AI2-LCS_Top_Aggregate_ByYear!AI4)/LCS_Top_Aggregate_ByYear!AI6</f>
        <v>0.39973041856907821</v>
      </c>
      <c r="AJ2">
        <f>(LCS_Top_Aggregate_ByYear!AJ2-LCS_Top_Aggregate_ByYear!AJ4)/LCS_Top_Aggregate_ByYear!AJ6</f>
        <v>0.90995533977514131</v>
      </c>
      <c r="AK2">
        <f>(LCS_Top_Aggregate_ByYear!AK2-LCS_Top_Aggregate_ByYear!AK4)/LCS_Top_Aggregate_ByYear!AK6</f>
        <v>-0.17493368630138842</v>
      </c>
      <c r="AL2">
        <f>(LCS_Top_Aggregate_ByYear!AL2-LCS_Top_Aggregate_ByYear!AL4)/LCS_Top_Aggregate_ByYear!AL6</f>
        <v>-0.12287301787835347</v>
      </c>
      <c r="AM2">
        <f>(LCS_Top_Aggregate_ByYear!AM2-LCS_Top_Aggregate_ByYear!AM4)/LCS_Top_Aggregate_ByYear!AM6</f>
        <v>5.2207768271317796E-3</v>
      </c>
    </row>
    <row r="3" spans="1:39" x14ac:dyDescent="0.25">
      <c r="A3" t="s">
        <v>37</v>
      </c>
      <c r="B3">
        <v>2018</v>
      </c>
      <c r="C3">
        <v>0</v>
      </c>
      <c r="D3">
        <f>(LCS_Top_Aggregate_ByYear!D3-LCS_Top_Aggregate_ByYear!D5)/LCS_Top_Aggregate_ByYear!D7</f>
        <v>-0.35355339059327556</v>
      </c>
      <c r="E3">
        <f>(LCS_Top_Aggregate_ByYear!E3-LCS_Top_Aggregate_ByYear!E5)/LCS_Top_Aggregate_ByYear!E7</f>
        <v>0.26699722797668873</v>
      </c>
      <c r="F3">
        <f>(LCS_Top_Aggregate_ByYear!F3-LCS_Top_Aggregate_ByYear!F5)/LCS_Top_Aggregate_ByYear!F7</f>
        <v>-0.39728859128769217</v>
      </c>
      <c r="G3">
        <f>(LCS_Top_Aggregate_ByYear!G3-LCS_Top_Aggregate_ByYear!G5)/LCS_Top_Aggregate_ByYear!G7</f>
        <v>-0.38497099070143664</v>
      </c>
      <c r="H3">
        <f>(LCS_Top_Aggregate_ByYear!H3-LCS_Top_Aggregate_ByYear!H5)/LCS_Top_Aggregate_ByYear!H7</f>
        <v>8.0738432338433155E-2</v>
      </c>
      <c r="I3">
        <v>8.0738432338433155E-2</v>
      </c>
      <c r="J3">
        <f>(LCS_Top_Aggregate_ByYear!J3-LCS_Top_Aggregate_ByYear!J5)/LCS_Top_Aggregate_ByYear!J7</f>
        <v>1.6856526355655228E-2</v>
      </c>
      <c r="K3">
        <f>(LCS_Top_Aggregate_ByYear!K3-LCS_Top_Aggregate_ByYear!K5)/LCS_Top_Aggregate_ByYear!K7</f>
        <v>0.25106441745779284</v>
      </c>
      <c r="L3">
        <f>(LCS_Top_Aggregate_ByYear!L3-LCS_Top_Aggregate_ByYear!L5)/LCS_Top_Aggregate_ByYear!L7</f>
        <v>0.21461928043893827</v>
      </c>
      <c r="M3">
        <f>(LCS_Top_Aggregate_ByYear!M3-LCS_Top_Aggregate_ByYear!M5)/LCS_Top_Aggregate_ByYear!M7</f>
        <v>-0.1299977722354608</v>
      </c>
      <c r="N3">
        <f>(LCS_Top_Aggregate_ByYear!N3-LCS_Top_Aggregate_ByYear!N5)/LCS_Top_Aggregate_ByYear!N7</f>
        <v>6.7211027172248597E-2</v>
      </c>
      <c r="O3">
        <f>(LCS_Top_Aggregate_ByYear!O3-LCS_Top_Aggregate_ByYear!O5)/LCS_Top_Aggregate_ByYear!O7</f>
        <v>0.11685532508896128</v>
      </c>
      <c r="P3">
        <f>(LCS_Top_Aggregate_ByYear!P3-LCS_Top_Aggregate_ByYear!P5)/LCS_Top_Aggregate_ByYear!P7</f>
        <v>0.44428237762990347</v>
      </c>
      <c r="Q3">
        <f>(LCS_Top_Aggregate_ByYear!Q3-LCS_Top_Aggregate_ByYear!Q5)/LCS_Top_Aggregate_ByYear!Q7</f>
        <v>0.23049010190893193</v>
      </c>
      <c r="R3">
        <f>(LCS_Top_Aggregate_ByYear!R3-LCS_Top_Aggregate_ByYear!R5)/LCS_Top_Aggregate_ByYear!R7</f>
        <v>-0.28741484327547312</v>
      </c>
      <c r="S3">
        <f>(LCS_Top_Aggregate_ByYear!S3-LCS_Top_Aggregate_ByYear!S5)/LCS_Top_Aggregate_ByYear!S7</f>
        <v>-0.11498972441378912</v>
      </c>
      <c r="T3">
        <f>(LCS_Top_Aggregate_ByYear!T3-LCS_Top_Aggregate_ByYear!T5)/LCS_Top_Aggregate_ByYear!T7</f>
        <v>0.36152840680403248</v>
      </c>
      <c r="U3">
        <f>(LCS_Top_Aggregate_ByYear!U3-LCS_Top_Aggregate_ByYear!U5)/LCS_Top_Aggregate_ByYear!U7</f>
        <v>-4.6562577453340137E-2</v>
      </c>
      <c r="V3">
        <f>(LCS_Top_Aggregate_ByYear!V3-LCS_Top_Aggregate_ByYear!V5)/LCS_Top_Aggregate_ByYear!V7</f>
        <v>0.41349429056723858</v>
      </c>
      <c r="W3">
        <f>(LCS_Top_Aggregate_ByYear!W3-LCS_Top_Aggregate_ByYear!W5)/LCS_Top_Aggregate_ByYear!W7</f>
        <v>-0.13670127611916388</v>
      </c>
      <c r="X3">
        <f>(LCS_Top_Aggregate_ByYear!X3-LCS_Top_Aggregate_ByYear!X5)/LCS_Top_Aggregate_ByYear!X7</f>
        <v>0.25838190375081876</v>
      </c>
      <c r="Y3">
        <f>(LCS_Top_Aggregate_ByYear!Y3-LCS_Top_Aggregate_ByYear!Y5)/LCS_Top_Aggregate_ByYear!Y7</f>
        <v>1.1063431812786735</v>
      </c>
      <c r="Z3">
        <f>(LCS_Top_Aggregate_ByYear!Z3-LCS_Top_Aggregate_ByYear!Z5)/LCS_Top_Aggregate_ByYear!Z7</f>
        <v>0.37608215809050899</v>
      </c>
      <c r="AA3">
        <f>(LCS_Top_Aggregate_ByYear!AA3-LCS_Top_Aggregate_ByYear!AA5)/LCS_Top_Aggregate_ByYear!AA7</f>
        <v>-2.6111885775226837E-3</v>
      </c>
      <c r="AB3">
        <f>(LCS_Top_Aggregate_ByYear!AB3-LCS_Top_Aggregate_ByYear!AB5)/LCS_Top_Aggregate_ByYear!AB7</f>
        <v>-0.59220678465939625</v>
      </c>
      <c r="AC3">
        <f>(LCS_Top_Aggregate_ByYear!AC3-LCS_Top_Aggregate_ByYear!AC5)/LCS_Top_Aggregate_ByYear!AC7</f>
        <v>-0.46208763848058904</v>
      </c>
      <c r="AD3">
        <f>(LCS_Top_Aggregate_ByYear!AD3-LCS_Top_Aggregate_ByYear!AD5)/LCS_Top_Aggregate_ByYear!AD7</f>
        <v>0.22944007497646668</v>
      </c>
      <c r="AE3">
        <f>(LCS_Top_Aggregate_ByYear!AE3-LCS_Top_Aggregate_ByYear!AE5)/LCS_Top_Aggregate_ByYear!AE7</f>
        <v>-0.19109216028259096</v>
      </c>
      <c r="AF3">
        <f>(LCS_Top_Aggregate_ByYear!AF3-LCS_Top_Aggregate_ByYear!AF5)/LCS_Top_Aggregate_ByYear!AF7</f>
        <v>-0.10414257863788282</v>
      </c>
      <c r="AG3">
        <f>(LCS_Top_Aggregate_ByYear!AG3-LCS_Top_Aggregate_ByYear!AG5)/LCS_Top_Aggregate_ByYear!AG7</f>
        <v>0.33155228606089399</v>
      </c>
      <c r="AH3">
        <f>(LCS_Top_Aggregate_ByYear!AH3-LCS_Top_Aggregate_ByYear!AH5)/LCS_Top_Aggregate_ByYear!AH7</f>
        <v>0.8977219285066389</v>
      </c>
      <c r="AI3">
        <f>(LCS_Top_Aggregate_ByYear!AI3-LCS_Top_Aggregate_ByYear!AI5)/LCS_Top_Aggregate_ByYear!AI7</f>
        <v>0.42572388299584574</v>
      </c>
      <c r="AJ3">
        <f>(LCS_Top_Aggregate_ByYear!AJ3-LCS_Top_Aggregate_ByYear!AJ5)/LCS_Top_Aggregate_ByYear!AJ7</f>
        <v>0.10630907701318124</v>
      </c>
      <c r="AK3">
        <f>(LCS_Top_Aggregate_ByYear!AK3-LCS_Top_Aggregate_ByYear!AK5)/LCS_Top_Aggregate_ByYear!AK7</f>
        <v>-0.69282234830684386</v>
      </c>
      <c r="AL3">
        <f>(LCS_Top_Aggregate_ByYear!AL3-LCS_Top_Aggregate_ByYear!AL5)/LCS_Top_Aggregate_ByYear!AL7</f>
        <v>-0.45136255557946214</v>
      </c>
      <c r="AM3">
        <f>(LCS_Top_Aggregate_ByYear!AM3-LCS_Top_Aggregate_ByYear!AM5)/LCS_Top_Aggregate_ByYear!AM7</f>
        <v>0.21888705265218206</v>
      </c>
    </row>
    <row r="4" spans="1:39" x14ac:dyDescent="0.25">
      <c r="A4" t="s">
        <v>37</v>
      </c>
      <c r="B4">
        <v>2019</v>
      </c>
      <c r="C4">
        <v>1</v>
      </c>
      <c r="D4">
        <f>(LCS_Top_Aggregate_ByYear!D9-LCS_Top_Aggregate_ByYear!D11)/LCS_Top_Aggregate_ByYear!D13</f>
        <v>-9.589392929521505E-2</v>
      </c>
      <c r="E4">
        <f>(LCS_Top_Aggregate_ByYear!E9-LCS_Top_Aggregate_ByYear!E11)/LCS_Top_Aggregate_ByYear!E13</f>
        <v>1.3379788535912511</v>
      </c>
      <c r="F4">
        <f>(LCS_Top_Aggregate_ByYear!F9-LCS_Top_Aggregate_ByYear!F11)/LCS_Top_Aggregate_ByYear!F13</f>
        <v>0.35564115680838837</v>
      </c>
      <c r="G4">
        <f>(LCS_Top_Aggregate_ByYear!G9-LCS_Top_Aggregate_ByYear!G11)/LCS_Top_Aggregate_ByYear!G13</f>
        <v>0.86308031215604997</v>
      </c>
      <c r="H4">
        <f>(LCS_Top_Aggregate_ByYear!H9-LCS_Top_Aggregate_ByYear!H11)/LCS_Top_Aggregate_ByYear!H13</f>
        <v>4.4413592283017035E-2</v>
      </c>
      <c r="I4">
        <v>4.4413592283017035E-2</v>
      </c>
      <c r="J4">
        <f>(LCS_Top_Aggregate_ByYear!J9-LCS_Top_Aggregate_ByYear!J11)/LCS_Top_Aggregate_ByYear!J13</f>
        <v>-1.160025399332709</v>
      </c>
      <c r="K4">
        <f>(LCS_Top_Aggregate_ByYear!K9-LCS_Top_Aggregate_ByYear!K11)/LCS_Top_Aggregate_ByYear!K13</f>
        <v>-0.43986784115412508</v>
      </c>
      <c r="L4">
        <f>(LCS_Top_Aggregate_ByYear!L9-LCS_Top_Aggregate_ByYear!L11)/LCS_Top_Aggregate_ByYear!L13</f>
        <v>0.19812670524645626</v>
      </c>
      <c r="M4">
        <f>(LCS_Top_Aggregate_ByYear!M9-LCS_Top_Aggregate_ByYear!M11)/LCS_Top_Aggregate_ByYear!M13</f>
        <v>0.1633160346224159</v>
      </c>
      <c r="N4">
        <f>(LCS_Top_Aggregate_ByYear!N9-LCS_Top_Aggregate_ByYear!N11)/LCS_Top_Aggregate_ByYear!N13</f>
        <v>-0.57789390122966522</v>
      </c>
      <c r="O4">
        <f>(LCS_Top_Aggregate_ByYear!O9-LCS_Top_Aggregate_ByYear!O11)/LCS_Top_Aggregate_ByYear!O13</f>
        <v>-0.74940279389497377</v>
      </c>
      <c r="P4">
        <f>(LCS_Top_Aggregate_ByYear!P9-LCS_Top_Aggregate_ByYear!P11)/LCS_Top_Aggregate_ByYear!P13</f>
        <v>-0.58871499666728555</v>
      </c>
      <c r="Q4">
        <f>(LCS_Top_Aggregate_ByYear!Q9-LCS_Top_Aggregate_ByYear!Q11)/LCS_Top_Aggregate_ByYear!Q13</f>
        <v>-0.25614141281745995</v>
      </c>
      <c r="R4">
        <f>(LCS_Top_Aggregate_ByYear!R9-LCS_Top_Aggregate_ByYear!R11)/LCS_Top_Aggregate_ByYear!R13</f>
        <v>-0.27793594852325054</v>
      </c>
      <c r="S4">
        <f>(LCS_Top_Aggregate_ByYear!S9-LCS_Top_Aggregate_ByYear!S11)/LCS_Top_Aggregate_ByYear!S13</f>
        <v>-0.1331499823144795</v>
      </c>
      <c r="T4">
        <f>(LCS_Top_Aggregate_ByYear!T9-LCS_Top_Aggregate_ByYear!T11)/LCS_Top_Aggregate_ByYear!T13</f>
        <v>-0.24546301690559541</v>
      </c>
      <c r="U4">
        <f>(LCS_Top_Aggregate_ByYear!U9-LCS_Top_Aggregate_ByYear!U11)/LCS_Top_Aggregate_ByYear!U13</f>
        <v>-3.9197022158012317E-2</v>
      </c>
      <c r="V4">
        <f>(LCS_Top_Aggregate_ByYear!V9-LCS_Top_Aggregate_ByYear!V11)/LCS_Top_Aggregate_ByYear!V13</f>
        <v>1.1434765317834681</v>
      </c>
      <c r="W4">
        <f>(LCS_Top_Aggregate_ByYear!W9-LCS_Top_Aggregate_ByYear!W11)/LCS_Top_Aggregate_ByYear!W13</f>
        <v>1.4195882306966459</v>
      </c>
      <c r="X4">
        <f>(LCS_Top_Aggregate_ByYear!X9-LCS_Top_Aggregate_ByYear!X11)/LCS_Top_Aggregate_ByYear!X13</f>
        <v>1.5658594598757749</v>
      </c>
      <c r="Y4">
        <f>(LCS_Top_Aggregate_ByYear!Y9-LCS_Top_Aggregate_ByYear!Y11)/LCS_Top_Aggregate_ByYear!Y13</f>
        <v>0.72530830972430205</v>
      </c>
      <c r="Z4">
        <f>(LCS_Top_Aggregate_ByYear!Z9-LCS_Top_Aggregate_ByYear!Z11)/LCS_Top_Aggregate_ByYear!Z13</f>
        <v>0.78191861243877148</v>
      </c>
      <c r="AA4">
        <f>(LCS_Top_Aggregate_ByYear!AA9-LCS_Top_Aggregate_ByYear!AA11)/LCS_Top_Aggregate_ByYear!AA13</f>
        <v>0.66740090147356668</v>
      </c>
      <c r="AB4">
        <f>(LCS_Top_Aggregate_ByYear!AB9-LCS_Top_Aggregate_ByYear!AB11)/LCS_Top_Aggregate_ByYear!AB13</f>
        <v>0.23032332502976199</v>
      </c>
      <c r="AC4">
        <f>(LCS_Top_Aggregate_ByYear!AC9-LCS_Top_Aggregate_ByYear!AC11)/LCS_Top_Aggregate_ByYear!AC13</f>
        <v>0.34938456712435267</v>
      </c>
      <c r="AD4">
        <f>(LCS_Top_Aggregate_ByYear!AD9-LCS_Top_Aggregate_ByYear!AD11)/LCS_Top_Aggregate_ByYear!AD13</f>
        <v>0.6479507850895323</v>
      </c>
      <c r="AE4">
        <f>(LCS_Top_Aggregate_ByYear!AE9-LCS_Top_Aggregate_ByYear!AE11)/LCS_Top_Aggregate_ByYear!AE13</f>
        <v>0.18458162124476921</v>
      </c>
      <c r="AF4">
        <f>(LCS_Top_Aggregate_ByYear!AF9-LCS_Top_Aggregate_ByYear!AF11)/LCS_Top_Aggregate_ByYear!AF13</f>
        <v>0.12500639561591834</v>
      </c>
      <c r="AG4">
        <f>(LCS_Top_Aggregate_ByYear!AG9-LCS_Top_Aggregate_ByYear!AG11)/LCS_Top_Aggregate_ByYear!AG13</f>
        <v>1.0099394437954254</v>
      </c>
      <c r="AH4">
        <f>(LCS_Top_Aggregate_ByYear!AH9-LCS_Top_Aggregate_ByYear!AH11)/LCS_Top_Aggregate_ByYear!AH13</f>
        <v>0.52643414984463799</v>
      </c>
      <c r="AI4">
        <f>(LCS_Top_Aggregate_ByYear!AI9-LCS_Top_Aggregate_ByYear!AI11)/LCS_Top_Aggregate_ByYear!AI13</f>
        <v>1.4366245445390837</v>
      </c>
      <c r="AJ4">
        <f>(LCS_Top_Aggregate_ByYear!AJ9-LCS_Top_Aggregate_ByYear!AJ11)/LCS_Top_Aggregate_ByYear!AJ13</f>
        <v>0.98454262944892834</v>
      </c>
      <c r="AK4">
        <f>(LCS_Top_Aggregate_ByYear!AK9-LCS_Top_Aggregate_ByYear!AK11)/LCS_Top_Aggregate_ByYear!AK13</f>
        <v>-0.20143057419443997</v>
      </c>
      <c r="AL4">
        <f>(LCS_Top_Aggregate_ByYear!AL9-LCS_Top_Aggregate_ByYear!AL11)/LCS_Top_Aggregate_ByYear!AL13</f>
        <v>-0.74889073410576668</v>
      </c>
      <c r="AM4">
        <f>(LCS_Top_Aggregate_ByYear!AM9-LCS_Top_Aggregate_ByYear!AM11)/LCS_Top_Aggregate_ByYear!AM13</f>
        <v>6.2150388949965857E-2</v>
      </c>
    </row>
    <row r="5" spans="1:39" x14ac:dyDescent="0.25">
      <c r="A5" t="s">
        <v>37</v>
      </c>
      <c r="B5">
        <v>2019</v>
      </c>
      <c r="C5">
        <v>0</v>
      </c>
      <c r="D5">
        <f>(LCS_Top_Aggregate_ByYear!D8-LCS_Top_Aggregate_ByYear!D10)/LCS_Top_Aggregate_ByYear!D12</f>
        <v>-0.21964997896055691</v>
      </c>
      <c r="E5">
        <f>(LCS_Top_Aggregate_ByYear!E8-LCS_Top_Aggregate_ByYear!E10)/LCS_Top_Aggregate_ByYear!E12</f>
        <v>0.15936779867328374</v>
      </c>
      <c r="F5">
        <f>(LCS_Top_Aggregate_ByYear!F8-LCS_Top_Aggregate_ByYear!F10)/LCS_Top_Aggregate_ByYear!F12</f>
        <v>-8.3218896938690223E-2</v>
      </c>
      <c r="G5">
        <f>(LCS_Top_Aggregate_ByYear!G8-LCS_Top_Aggregate_ByYear!G10)/LCS_Top_Aggregate_ByYear!G12</f>
        <v>-0.21317882234814156</v>
      </c>
      <c r="H5">
        <f>(LCS_Top_Aggregate_ByYear!H8-LCS_Top_Aggregate_ByYear!H10)/LCS_Top_Aggregate_ByYear!H12</f>
        <v>-5.2461501713362176E-2</v>
      </c>
      <c r="I5">
        <v>-5.2461501713362176E-2</v>
      </c>
      <c r="J5">
        <f>(LCS_Top_Aggregate_ByYear!J8-LCS_Top_Aggregate_ByYear!J10)/LCS_Top_Aggregate_ByYear!J12</f>
        <v>0.80230691070347604</v>
      </c>
      <c r="K5">
        <f>(LCS_Top_Aggregate_ByYear!K8-LCS_Top_Aggregate_ByYear!K10)/LCS_Top_Aggregate_ByYear!K12</f>
        <v>0.47387850012854071</v>
      </c>
      <c r="L5">
        <f>(LCS_Top_Aggregate_ByYear!L8-LCS_Top_Aggregate_ByYear!L10)/LCS_Top_Aggregate_ByYear!L12</f>
        <v>0.17650451959061239</v>
      </c>
      <c r="M5">
        <f>(LCS_Top_Aggregate_ByYear!M8-LCS_Top_Aggregate_ByYear!M10)/LCS_Top_Aggregate_ByYear!M12</f>
        <v>-0.36854116858580704</v>
      </c>
      <c r="N5">
        <f>(LCS_Top_Aggregate_ByYear!N8-LCS_Top_Aggregate_ByYear!N10)/LCS_Top_Aggregate_ByYear!N12</f>
        <v>0.59834683641874153</v>
      </c>
      <c r="O5">
        <f>(LCS_Top_Aggregate_ByYear!O8-LCS_Top_Aggregate_ByYear!O10)/LCS_Top_Aggregate_ByYear!O12</f>
        <v>-6.6537126525377938E-2</v>
      </c>
      <c r="P5">
        <f>(LCS_Top_Aggregate_ByYear!P8-LCS_Top_Aggregate_ByYear!P10)/LCS_Top_Aggregate_ByYear!P12</f>
        <v>-0.37324572888305219</v>
      </c>
      <c r="Q5">
        <f>(LCS_Top_Aggregate_ByYear!Q8-LCS_Top_Aggregate_ByYear!Q10)/LCS_Top_Aggregate_ByYear!Q12</f>
        <v>-0.33141168746590133</v>
      </c>
      <c r="R5">
        <f>(LCS_Top_Aggregate_ByYear!R8-LCS_Top_Aggregate_ByYear!R10)/LCS_Top_Aggregate_ByYear!R12</f>
        <v>0.13189438689712779</v>
      </c>
      <c r="S5">
        <f>(LCS_Top_Aggregate_ByYear!S8-LCS_Top_Aggregate_ByYear!S10)/LCS_Top_Aggregate_ByYear!S12</f>
        <v>-5.4998505632902803E-2</v>
      </c>
      <c r="T5">
        <f>(LCS_Top_Aggregate_ByYear!T8-LCS_Top_Aggregate_ByYear!T10)/LCS_Top_Aggregate_ByYear!T12</f>
        <v>-0.38173362225404672</v>
      </c>
      <c r="U5">
        <f>(LCS_Top_Aggregate_ByYear!U8-LCS_Top_Aggregate_ByYear!U10)/LCS_Top_Aggregate_ByYear!U12</f>
        <v>0.46031856461286086</v>
      </c>
      <c r="V5">
        <f>(LCS_Top_Aggregate_ByYear!V8-LCS_Top_Aggregate_ByYear!V10)/LCS_Top_Aggregate_ByYear!V12</f>
        <v>-5.9668107927935754E-2</v>
      </c>
      <c r="W5">
        <f>(LCS_Top_Aggregate_ByYear!W8-LCS_Top_Aggregate_ByYear!W10)/LCS_Top_Aggregate_ByYear!W12</f>
        <v>1.4466844397277653E-2</v>
      </c>
      <c r="X5">
        <f>(LCS_Top_Aggregate_ByYear!X8-LCS_Top_Aggregate_ByYear!X10)/LCS_Top_Aggregate_ByYear!X12</f>
        <v>0.70554505265418332</v>
      </c>
      <c r="Y5">
        <f>(LCS_Top_Aggregate_ByYear!Y8-LCS_Top_Aggregate_ByYear!Y10)/LCS_Top_Aggregate_ByYear!Y12</f>
        <v>0.41032194505577696</v>
      </c>
      <c r="Z5">
        <f>(LCS_Top_Aggregate_ByYear!Z8-LCS_Top_Aggregate_ByYear!Z10)/LCS_Top_Aggregate_ByYear!Z12</f>
        <v>0.15614126641346704</v>
      </c>
      <c r="AA5">
        <f>(LCS_Top_Aggregate_ByYear!AA8-LCS_Top_Aggregate_ByYear!AA10)/LCS_Top_Aggregate_ByYear!AA12</f>
        <v>-0.27502900935214025</v>
      </c>
      <c r="AB5">
        <f>(LCS_Top_Aggregate_ByYear!AB8-LCS_Top_Aggregate_ByYear!AB10)/LCS_Top_Aggregate_ByYear!AB12</f>
        <v>-0.2611372782436418</v>
      </c>
      <c r="AC5">
        <f>(LCS_Top_Aggregate_ByYear!AC8-LCS_Top_Aggregate_ByYear!AC10)/LCS_Top_Aggregate_ByYear!AC12</f>
        <v>-7.7253080890264128E-2</v>
      </c>
      <c r="AD5">
        <f>(LCS_Top_Aggregate_ByYear!AD8-LCS_Top_Aggregate_ByYear!AD10)/LCS_Top_Aggregate_ByYear!AD12</f>
        <v>0.57287528863393822</v>
      </c>
      <c r="AE5">
        <f>(LCS_Top_Aggregate_ByYear!AE8-LCS_Top_Aggregate_ByYear!AE10)/LCS_Top_Aggregate_ByYear!AE12</f>
        <v>0.31655500991882046</v>
      </c>
      <c r="AF5">
        <f>(LCS_Top_Aggregate_ByYear!AF8-LCS_Top_Aggregate_ByYear!AF10)/LCS_Top_Aggregate_ByYear!AF12</f>
        <v>0.15870132483552934</v>
      </c>
      <c r="AG5">
        <f>(LCS_Top_Aggregate_ByYear!AG8-LCS_Top_Aggregate_ByYear!AG10)/LCS_Top_Aggregate_ByYear!AG12</f>
        <v>1.1202784662582177</v>
      </c>
      <c r="AH5">
        <f>(LCS_Top_Aggregate_ByYear!AH8-LCS_Top_Aggregate_ByYear!AH10)/LCS_Top_Aggregate_ByYear!AH12</f>
        <v>-7.8920648913211794E-2</v>
      </c>
      <c r="AI5">
        <f>(LCS_Top_Aggregate_ByYear!AI8-LCS_Top_Aggregate_ByYear!AI10)/LCS_Top_Aggregate_ByYear!AI12</f>
        <v>0.22101031620179248</v>
      </c>
      <c r="AJ5">
        <f>(LCS_Top_Aggregate_ByYear!AJ8-LCS_Top_Aggregate_ByYear!AJ10)/LCS_Top_Aggregate_ByYear!AJ12</f>
        <v>4.827154381893687E-2</v>
      </c>
      <c r="AK5">
        <f>(LCS_Top_Aggregate_ByYear!AK8-LCS_Top_Aggregate_ByYear!AK10)/LCS_Top_Aggregate_ByYear!AK12</f>
        <v>0.23322496738907147</v>
      </c>
      <c r="AL5">
        <f>(LCS_Top_Aggregate_ByYear!AL8-LCS_Top_Aggregate_ByYear!AL10)/LCS_Top_Aggregate_ByYear!AL12</f>
        <v>-4.4990210898180935E-2</v>
      </c>
      <c r="AM5">
        <f>(LCS_Top_Aggregate_ByYear!AM8-LCS_Top_Aggregate_ByYear!AM10)/LCS_Top_Aggregate_ByYear!AM12</f>
        <v>0.55452718729391126</v>
      </c>
    </row>
    <row r="6" spans="1:39" x14ac:dyDescent="0.25">
      <c r="A6" t="s">
        <v>37</v>
      </c>
      <c r="B6">
        <v>2020</v>
      </c>
      <c r="C6">
        <v>1</v>
      </c>
      <c r="D6">
        <f>(LCS_Top_Aggregate_ByYear!D15-LCS_Top_Aggregate_ByYear!D16)/LCS_Top_Aggregate_ByYear!D18</f>
        <v>-9.2071250650434713E-2</v>
      </c>
      <c r="E6">
        <f>(LCS_Top_Aggregate_ByYear!E15-LCS_Top_Aggregate_ByYear!E16)/LCS_Top_Aggregate_ByYear!E18</f>
        <v>-0.19885155748593045</v>
      </c>
      <c r="F6">
        <f>(LCS_Top_Aggregate_ByYear!F15-LCS_Top_Aggregate_ByYear!F16)/LCS_Top_Aggregate_ByYear!F18</f>
        <v>-0.25402254472829933</v>
      </c>
      <c r="G6">
        <f>(LCS_Top_Aggregate_ByYear!G15-LCS_Top_Aggregate_ByYear!G16)/LCS_Top_Aggregate_ByYear!G18</f>
        <v>0.17259140348639276</v>
      </c>
      <c r="H6">
        <f>(LCS_Top_Aggregate_ByYear!H15-LCS_Top_Aggregate_ByYear!H16)/LCS_Top_Aggregate_ByYear!H18</f>
        <v>3.8889495473004868E-2</v>
      </c>
      <c r="I6">
        <v>3.8889495473004868E-2</v>
      </c>
      <c r="J6">
        <f>(LCS_Top_Aggregate_ByYear!J15-LCS_Top_Aggregate_ByYear!J16)/LCS_Top_Aggregate_ByYear!J18</f>
        <v>0.17825516547285164</v>
      </c>
      <c r="K6">
        <f>(LCS_Top_Aggregate_ByYear!K15-LCS_Top_Aggregate_ByYear!K16)/LCS_Top_Aggregate_ByYear!K18</f>
        <v>5.4990487661481808E-3</v>
      </c>
      <c r="L6">
        <f>(LCS_Top_Aggregate_ByYear!L15-LCS_Top_Aggregate_ByYear!L16)/LCS_Top_Aggregate_ByYear!L18</f>
        <v>-0.13103215635166132</v>
      </c>
      <c r="M6">
        <f>(LCS_Top_Aggregate_ByYear!M15-LCS_Top_Aggregate_ByYear!M16)/LCS_Top_Aggregate_ByYear!M18</f>
        <v>-0.32009885897814883</v>
      </c>
      <c r="N6">
        <f>(LCS_Top_Aggregate_ByYear!N15-LCS_Top_Aggregate_ByYear!N16)/LCS_Top_Aggregate_ByYear!N18</f>
        <v>0.61055427161542697</v>
      </c>
      <c r="O6">
        <f>(LCS_Top_Aggregate_ByYear!O15-LCS_Top_Aggregate_ByYear!O16)/LCS_Top_Aggregate_ByYear!O18</f>
        <v>0.26117513498750333</v>
      </c>
      <c r="P6">
        <f>(LCS_Top_Aggregate_ByYear!P15-LCS_Top_Aggregate_ByYear!P16)/LCS_Top_Aggregate_ByYear!P18</f>
        <v>-0.14407853499843321</v>
      </c>
      <c r="Q6">
        <f>(LCS_Top_Aggregate_ByYear!Q15-LCS_Top_Aggregate_ByYear!Q16)/LCS_Top_Aggregate_ByYear!Q18</f>
        <v>-0.30148655823076137</v>
      </c>
      <c r="R6">
        <f>(LCS_Top_Aggregate_ByYear!R15-LCS_Top_Aggregate_ByYear!R16)/LCS_Top_Aggregate_ByYear!R18</f>
        <v>-0.11306196103438999</v>
      </c>
      <c r="S6">
        <f>(LCS_Top_Aggregate_ByYear!S15-LCS_Top_Aggregate_ByYear!S16)/LCS_Top_Aggregate_ByYear!S18</f>
        <v>-0.3902892767542826</v>
      </c>
      <c r="T6">
        <f>(LCS_Top_Aggregate_ByYear!T15-LCS_Top_Aggregate_ByYear!T16)/LCS_Top_Aggregate_ByYear!T18</f>
        <v>0.29583374613566271</v>
      </c>
      <c r="U6">
        <f>(LCS_Top_Aggregate_ByYear!U15-LCS_Top_Aggregate_ByYear!U16)/LCS_Top_Aggregate_ByYear!U18</f>
        <v>-0.46752526658892057</v>
      </c>
      <c r="V6">
        <f>(LCS_Top_Aggregate_ByYear!V15-LCS_Top_Aggregate_ByYear!V16)/LCS_Top_Aggregate_ByYear!V18</f>
        <v>-0.66976236259209077</v>
      </c>
      <c r="W6">
        <f>(LCS_Top_Aggregate_ByYear!W15-LCS_Top_Aggregate_ByYear!W16)/LCS_Top_Aggregate_ByYear!W18</f>
        <v>6.4578674818238008E-2</v>
      </c>
      <c r="X6">
        <f>(LCS_Top_Aggregate_ByYear!X15-LCS_Top_Aggregate_ByYear!X16)/LCS_Top_Aggregate_ByYear!X18</f>
        <v>-6.5353990842997714E-2</v>
      </c>
      <c r="Y6">
        <f>(LCS_Top_Aggregate_ByYear!Y15-LCS_Top_Aggregate_ByYear!Y16)/LCS_Top_Aggregate_ByYear!Y18</f>
        <v>0.19526777571947737</v>
      </c>
      <c r="Z6">
        <f>(LCS_Top_Aggregate_ByYear!Z15-LCS_Top_Aggregate_ByYear!Z16)/LCS_Top_Aggregate_ByYear!Z18</f>
        <v>0.34837518261107026</v>
      </c>
      <c r="AA6">
        <f>(LCS_Top_Aggregate_ByYear!AA15-LCS_Top_Aggregate_ByYear!AA16)/LCS_Top_Aggregate_ByYear!AA18</f>
        <v>0.40880581524236848</v>
      </c>
      <c r="AB6">
        <f>(LCS_Top_Aggregate_ByYear!AB15-LCS_Top_Aggregate_ByYear!AB16)/LCS_Top_Aggregate_ByYear!AB18</f>
        <v>-0.50292206948978713</v>
      </c>
      <c r="AC6">
        <f>(LCS_Top_Aggregate_ByYear!AC15-LCS_Top_Aggregate_ByYear!AC16)/LCS_Top_Aggregate_ByYear!AC18</f>
        <v>-0.22485104043994081</v>
      </c>
      <c r="AD6">
        <f>(LCS_Top_Aggregate_ByYear!AD15-LCS_Top_Aggregate_ByYear!AD16)/LCS_Top_Aggregate_ByYear!AD18</f>
        <v>-0.3927852365652566</v>
      </c>
      <c r="AE6">
        <f>(LCS_Top_Aggregate_ByYear!AE15-LCS_Top_Aggregate_ByYear!AE16)/LCS_Top_Aggregate_ByYear!AE18</f>
        <v>-0.59982255439358967</v>
      </c>
      <c r="AF6">
        <f>(LCS_Top_Aggregate_ByYear!AF15-LCS_Top_Aggregate_ByYear!AF16)/LCS_Top_Aggregate_ByYear!AF18</f>
        <v>8.7585357061176983E-2</v>
      </c>
      <c r="AG6">
        <f>(LCS_Top_Aggregate_ByYear!AG15-LCS_Top_Aggregate_ByYear!AG16)/LCS_Top_Aggregate_ByYear!AG18</f>
        <v>8.1549006867327606E-2</v>
      </c>
      <c r="AH6">
        <f>(LCS_Top_Aggregate_ByYear!AH15-LCS_Top_Aggregate_ByYear!AH16)/LCS_Top_Aggregate_ByYear!AH18</f>
        <v>0.24150047045147346</v>
      </c>
      <c r="AI6">
        <f>(LCS_Top_Aggregate_ByYear!AI15-LCS_Top_Aggregate_ByYear!AI16)/LCS_Top_Aggregate_ByYear!AI18</f>
        <v>4.2195466507843761E-2</v>
      </c>
      <c r="AJ6">
        <f>(LCS_Top_Aggregate_ByYear!AJ15-LCS_Top_Aggregate_ByYear!AJ16)/LCS_Top_Aggregate_ByYear!AJ18</f>
        <v>6.3850679478637359E-2</v>
      </c>
      <c r="AK6">
        <f>(LCS_Top_Aggregate_ByYear!AK15-LCS_Top_Aggregate_ByYear!AK16)/LCS_Top_Aggregate_ByYear!AK18</f>
        <v>-0.46551048920119842</v>
      </c>
      <c r="AL6">
        <f>(LCS_Top_Aggregate_ByYear!AL15-LCS_Top_Aggregate_ByYear!AL16)/LCS_Top_Aggregate_ByYear!AL18</f>
        <v>2.4659212235495161E-2</v>
      </c>
      <c r="AM6">
        <f>(LCS_Top_Aggregate_ByYear!AM15-LCS_Top_Aggregate_ByYear!AM16)/LCS_Top_Aggregate_ByYear!AM18</f>
        <v>4.1506409131510423E-3</v>
      </c>
    </row>
    <row r="7" spans="1:39" x14ac:dyDescent="0.25">
      <c r="A7" t="s">
        <v>37</v>
      </c>
      <c r="B7">
        <v>2020</v>
      </c>
      <c r="C7">
        <v>0</v>
      </c>
      <c r="D7">
        <f>(LCS_Top_Aggregate_ByYear!D14-LCS_Top_Aggregate_ByYear!D17)/LCS_Top_Aggregate_ByYear!D19</f>
        <v>0.76337003671197989</v>
      </c>
      <c r="E7">
        <f>(LCS_Top_Aggregate_ByYear!E14-LCS_Top_Aggregate_ByYear!E17)/LCS_Top_Aggregate_ByYear!E19</f>
        <v>0.85533720344770314</v>
      </c>
      <c r="F7">
        <f>(LCS_Top_Aggregate_ByYear!F14-LCS_Top_Aggregate_ByYear!F17)/LCS_Top_Aggregate_ByYear!F19</f>
        <v>-1.1547005383792563</v>
      </c>
      <c r="G7">
        <f>(LCS_Top_Aggregate_ByYear!G14-LCS_Top_Aggregate_ByYear!G17)/LCS_Top_Aggregate_ByYear!G19</f>
        <v>-0.6838915900963457</v>
      </c>
      <c r="H7">
        <f>(LCS_Top_Aggregate_ByYear!H14-LCS_Top_Aggregate_ByYear!H17)/LCS_Top_Aggregate_ByYear!H19</f>
        <v>2.9886830101839736</v>
      </c>
      <c r="I7">
        <v>2.9886830101839736</v>
      </c>
      <c r="J7">
        <f>(LCS_Top_Aggregate_ByYear!J14-LCS_Top_Aggregate_ByYear!J17)/LCS_Top_Aggregate_ByYear!J19</f>
        <v>0.46020571123784304</v>
      </c>
      <c r="K7">
        <f>(LCS_Top_Aggregate_ByYear!K14-LCS_Top_Aggregate_ByYear!K17)/LCS_Top_Aggregate_ByYear!K19</f>
        <v>-0.23232325021973593</v>
      </c>
      <c r="L7">
        <f>(LCS_Top_Aggregate_ByYear!L14-LCS_Top_Aggregate_ByYear!L17)/LCS_Top_Aggregate_ByYear!L19</f>
        <v>-0.46979276978374557</v>
      </c>
      <c r="M7">
        <f>(LCS_Top_Aggregate_ByYear!M14-LCS_Top_Aggregate_ByYear!M17)/LCS_Top_Aggregate_ByYear!M19</f>
        <v>-0.42285042951590346</v>
      </c>
      <c r="N7">
        <f>(LCS_Top_Aggregate_ByYear!N14-LCS_Top_Aggregate_ByYear!N17)/LCS_Top_Aggregate_ByYear!N19</f>
        <v>-0.69155669275785658</v>
      </c>
      <c r="O7">
        <f>(LCS_Top_Aggregate_ByYear!O14-LCS_Top_Aggregate_ByYear!O17)/LCS_Top_Aggregate_ByYear!O19</f>
        <v>-0.59240249568051473</v>
      </c>
      <c r="P7">
        <f>(LCS_Top_Aggregate_ByYear!P14-LCS_Top_Aggregate_ByYear!P17)/LCS_Top_Aggregate_ByYear!P19</f>
        <v>0.41151644462304093</v>
      </c>
      <c r="Q7">
        <f>(LCS_Top_Aggregate_ByYear!Q14-LCS_Top_Aggregate_ByYear!Q17)/LCS_Top_Aggregate_ByYear!Q19</f>
        <v>1.4304579501627939</v>
      </c>
      <c r="R7">
        <f>(LCS_Top_Aggregate_ByYear!R14-LCS_Top_Aggregate_ByYear!R17)/LCS_Top_Aggregate_ByYear!R19</f>
        <v>0.2724497062079832</v>
      </c>
      <c r="S7">
        <f>(LCS_Top_Aggregate_ByYear!S14-LCS_Top_Aggregate_ByYear!S17)/LCS_Top_Aggregate_ByYear!S19</f>
        <v>-0.41170225404521132</v>
      </c>
      <c r="T7">
        <f>(LCS_Top_Aggregate_ByYear!T14-LCS_Top_Aggregate_ByYear!T17)/LCS_Top_Aggregate_ByYear!T19</f>
        <v>-0.83469835707655782</v>
      </c>
      <c r="U7">
        <f>(LCS_Top_Aggregate_ByYear!U14-LCS_Top_Aggregate_ByYear!U17)/LCS_Top_Aggregate_ByYear!U19</f>
        <v>5.9103783432530643E-2</v>
      </c>
      <c r="V7">
        <f>(LCS_Top_Aggregate_ByYear!V14-LCS_Top_Aggregate_ByYear!V17)/LCS_Top_Aggregate_ByYear!V19</f>
        <v>2.5359725472612564</v>
      </c>
      <c r="W7">
        <f>(LCS_Top_Aggregate_ByYear!W14-LCS_Top_Aggregate_ByYear!W17)/LCS_Top_Aggregate_ByYear!W19</f>
        <v>0.13149615251405511</v>
      </c>
      <c r="X7">
        <f>(LCS_Top_Aggregate_ByYear!X14-LCS_Top_Aggregate_ByYear!X17)/LCS_Top_Aggregate_ByYear!X19</f>
        <v>0.54902873783744033</v>
      </c>
      <c r="Y7">
        <f>(LCS_Top_Aggregate_ByYear!Y14-LCS_Top_Aggregate_ByYear!Y17)/LCS_Top_Aggregate_ByYear!Y19</f>
        <v>-0.93080411633377591</v>
      </c>
      <c r="Z7">
        <f>(LCS_Top_Aggregate_ByYear!Z14-LCS_Top_Aggregate_ByYear!Z17)/LCS_Top_Aggregate_ByYear!Z19</f>
        <v>-1.7942858737210741</v>
      </c>
      <c r="AA7">
        <f>(LCS_Top_Aggregate_ByYear!AA14-LCS_Top_Aggregate_ByYear!AA17)/LCS_Top_Aggregate_ByYear!AA19</f>
        <v>-0.52615221960198066</v>
      </c>
      <c r="AB7">
        <f>(LCS_Top_Aggregate_ByYear!AB14-LCS_Top_Aggregate_ByYear!AB17)/LCS_Top_Aggregate_ByYear!AB19</f>
        <v>1.9376007514255107</v>
      </c>
      <c r="AC7">
        <f>(LCS_Top_Aggregate_ByYear!AC14-LCS_Top_Aggregate_ByYear!AC17)/LCS_Top_Aggregate_ByYear!AC19</f>
        <v>1.1284989351804844</v>
      </c>
      <c r="AD7">
        <f>(LCS_Top_Aggregate_ByYear!AD14-LCS_Top_Aggregate_ByYear!AD17)/LCS_Top_Aggregate_ByYear!AD19</f>
        <v>0.6845894166674954</v>
      </c>
      <c r="AE7">
        <f>(LCS_Top_Aggregate_ByYear!AE14-LCS_Top_Aggregate_ByYear!AE17)/LCS_Top_Aggregate_ByYear!AE19</f>
        <v>0.31535515300614436</v>
      </c>
      <c r="AF7">
        <f>(LCS_Top_Aggregate_ByYear!AF14-LCS_Top_Aggregate_ByYear!AF17)/LCS_Top_Aggregate_ByYear!AF19</f>
        <v>0.38343879285766336</v>
      </c>
      <c r="AG7">
        <f>(LCS_Top_Aggregate_ByYear!AG14-LCS_Top_Aggregate_ByYear!AG17)/LCS_Top_Aggregate_ByYear!AG19</f>
        <v>0.28885570815600281</v>
      </c>
      <c r="AH7">
        <f>(LCS_Top_Aggregate_ByYear!AH14-LCS_Top_Aggregate_ByYear!AH17)/LCS_Top_Aggregate_ByYear!AH19</f>
        <v>1.1034428897193818</v>
      </c>
      <c r="AI7">
        <f>(LCS_Top_Aggregate_ByYear!AI14-LCS_Top_Aggregate_ByYear!AI17)/LCS_Top_Aggregate_ByYear!AI19</f>
        <v>-0.78689638461963174</v>
      </c>
      <c r="AJ7">
        <f>(LCS_Top_Aggregate_ByYear!AJ14-LCS_Top_Aggregate_ByYear!AJ17)/LCS_Top_Aggregate_ByYear!AJ19</f>
        <v>0.38398615102210581</v>
      </c>
      <c r="AK7">
        <f>(LCS_Top_Aggregate_ByYear!AK14-LCS_Top_Aggregate_ByYear!AK17)/LCS_Top_Aggregate_ByYear!AK19</f>
        <v>-0.60219917435145676</v>
      </c>
      <c r="AL7">
        <f>(LCS_Top_Aggregate_ByYear!AL14-LCS_Top_Aggregate_ByYear!AL17)/LCS_Top_Aggregate_ByYear!AL19</f>
        <v>0.72322967351707135</v>
      </c>
      <c r="AM7">
        <f>(LCS_Top_Aggregate_ByYear!AM14-LCS_Top_Aggregate_ByYear!AM17)/LCS_Top_Aggregate_ByYear!AM19</f>
        <v>-1.7503501050350131E-2</v>
      </c>
    </row>
    <row r="8" spans="1:39" x14ac:dyDescent="0.25">
      <c r="A8" t="s">
        <v>37</v>
      </c>
      <c r="B8">
        <v>2021</v>
      </c>
      <c r="C8">
        <v>1</v>
      </c>
      <c r="D8">
        <f>(LCS_Top_Aggregate_ByYear!D20-LCS_Top_Aggregate_ByYear!D22)/LCS_Top_Aggregate_ByYear!D24</f>
        <v>-1.0676989279345039</v>
      </c>
      <c r="E8">
        <f>(LCS_Top_Aggregate_ByYear!E20-LCS_Top_Aggregate_ByYear!E22)/LCS_Top_Aggregate_ByYear!E24</f>
        <v>1.4420657643403187</v>
      </c>
      <c r="F8">
        <f>(LCS_Top_Aggregate_ByYear!F20-LCS_Top_Aggregate_ByYear!F22)/LCS_Top_Aggregate_ByYear!F24</f>
        <v>0.4407941403605436</v>
      </c>
      <c r="G8">
        <f>(LCS_Top_Aggregate_ByYear!G20-LCS_Top_Aggregate_ByYear!G22)/LCS_Top_Aggregate_ByYear!G24</f>
        <v>-0.83069632571089014</v>
      </c>
      <c r="H8">
        <f>(LCS_Top_Aggregate_ByYear!H20-LCS_Top_Aggregate_ByYear!H22)/LCS_Top_Aggregate_ByYear!H24</f>
        <v>-1.403165700876869</v>
      </c>
      <c r="I8">
        <v>-1.403165700876869</v>
      </c>
      <c r="J8">
        <f>(LCS_Top_Aggregate_ByYear!J20-LCS_Top_Aggregate_ByYear!J22)/LCS_Top_Aggregate_ByYear!J24</f>
        <v>-1.0862251419426767</v>
      </c>
      <c r="K8">
        <f>(LCS_Top_Aggregate_ByYear!K20-LCS_Top_Aggregate_ByYear!K22)/LCS_Top_Aggregate_ByYear!K24</f>
        <v>-0.48802323898175093</v>
      </c>
      <c r="L8">
        <f>(LCS_Top_Aggregate_ByYear!L20-LCS_Top_Aggregate_ByYear!L22)/LCS_Top_Aggregate_ByYear!L24</f>
        <v>0.19296973445748161</v>
      </c>
      <c r="M8">
        <f>(LCS_Top_Aggregate_ByYear!M20-LCS_Top_Aggregate_ByYear!M22)/LCS_Top_Aggregate_ByYear!M24</f>
        <v>1.0791757616158362</v>
      </c>
      <c r="N8">
        <f>(LCS_Top_Aggregate_ByYear!N20-LCS_Top_Aggregate_ByYear!N22)/LCS_Top_Aggregate_ByYear!N24</f>
        <v>-0.91826061426612426</v>
      </c>
      <c r="O8">
        <f>(LCS_Top_Aggregate_ByYear!O20-LCS_Top_Aggregate_ByYear!O22)/LCS_Top_Aggregate_ByYear!O24</f>
        <v>-1.1227016211961471</v>
      </c>
      <c r="P8">
        <f>(LCS_Top_Aggregate_ByYear!P20-LCS_Top_Aggregate_ByYear!P22)/LCS_Top_Aggregate_ByYear!P24</f>
        <v>0.10196474342647817</v>
      </c>
      <c r="Q8">
        <f>(LCS_Top_Aggregate_ByYear!Q20-LCS_Top_Aggregate_ByYear!Q22)/LCS_Top_Aggregate_ByYear!Q24</f>
        <v>0.85415091975224089</v>
      </c>
      <c r="R8">
        <f>(LCS_Top_Aggregate_ByYear!R20-LCS_Top_Aggregate_ByYear!R22)/LCS_Top_Aggregate_ByYear!R24</f>
        <v>-0.49342965652692899</v>
      </c>
      <c r="S8">
        <f>(LCS_Top_Aggregate_ByYear!S20-LCS_Top_Aggregate_ByYear!S22)/LCS_Top_Aggregate_ByYear!S24</f>
        <v>0.21388301734457341</v>
      </c>
      <c r="T8">
        <f>(LCS_Top_Aggregate_ByYear!T20-LCS_Top_Aggregate_ByYear!T22)/LCS_Top_Aggregate_ByYear!T24</f>
        <v>-0.17538179769616311</v>
      </c>
      <c r="U8">
        <f>(LCS_Top_Aggregate_ByYear!U20-LCS_Top_Aggregate_ByYear!U22)/LCS_Top_Aggregate_ByYear!U24</f>
        <v>0.16288794478784535</v>
      </c>
      <c r="V8">
        <f>(LCS_Top_Aggregate_ByYear!V20-LCS_Top_Aggregate_ByYear!V22)/LCS_Top_Aggregate_ByYear!V24</f>
        <v>-0.44353897845562984</v>
      </c>
      <c r="W8">
        <f>(LCS_Top_Aggregate_ByYear!W20-LCS_Top_Aggregate_ByYear!W22)/LCS_Top_Aggregate_ByYear!W24</f>
        <v>-0.10458583036948076</v>
      </c>
      <c r="X8">
        <f>(LCS_Top_Aggregate_ByYear!X20-LCS_Top_Aggregate_ByYear!X22)/LCS_Top_Aggregate_ByYear!X24</f>
        <v>0.23998239208007488</v>
      </c>
      <c r="Y8">
        <f>(LCS_Top_Aggregate_ByYear!Y20-LCS_Top_Aggregate_ByYear!Y22)/LCS_Top_Aggregate_ByYear!Y24</f>
        <v>1.0531876648542435</v>
      </c>
      <c r="Z8">
        <f>(LCS_Top_Aggregate_ByYear!Z20-LCS_Top_Aggregate_ByYear!Z22)/LCS_Top_Aggregate_ByYear!Z24</f>
        <v>1.4853153292695296</v>
      </c>
      <c r="AA8">
        <f>(LCS_Top_Aggregate_ByYear!AA20-LCS_Top_Aggregate_ByYear!AA22)/LCS_Top_Aggregate_ByYear!AA24</f>
        <v>1.5621129145438306</v>
      </c>
      <c r="AB8">
        <f>(LCS_Top_Aggregate_ByYear!AB20-LCS_Top_Aggregate_ByYear!AB22)/LCS_Top_Aggregate_ByYear!AB24</f>
        <v>-0.93364822285361726</v>
      </c>
      <c r="AC8">
        <f>(LCS_Top_Aggregate_ByYear!AC20-LCS_Top_Aggregate_ByYear!AC22)/LCS_Top_Aggregate_ByYear!AC24</f>
        <v>-1.5001693330449533</v>
      </c>
      <c r="AD8">
        <f>(LCS_Top_Aggregate_ByYear!AD20-LCS_Top_Aggregate_ByYear!AD22)/LCS_Top_Aggregate_ByYear!AD24</f>
        <v>-1.039602016940018</v>
      </c>
      <c r="AE8">
        <f>(LCS_Top_Aggregate_ByYear!AE20-LCS_Top_Aggregate_ByYear!AE22)/LCS_Top_Aggregate_ByYear!AE24</f>
        <v>-0.58940554649419796</v>
      </c>
      <c r="AF8">
        <f>(LCS_Top_Aggregate_ByYear!AF20-LCS_Top_Aggregate_ByYear!AF22)/LCS_Top_Aggregate_ByYear!AF24</f>
        <v>0.20703949028391558</v>
      </c>
      <c r="AG8">
        <f>(LCS_Top_Aggregate_ByYear!AG20-LCS_Top_Aggregate_ByYear!AG22)/LCS_Top_Aggregate_ByYear!AG24</f>
        <v>-4.5504171354493013E-3</v>
      </c>
      <c r="AH8">
        <f>(LCS_Top_Aggregate_ByYear!AH20-LCS_Top_Aggregate_ByYear!AH22)/LCS_Top_Aggregate_ByYear!AH24</f>
        <v>9.9305033833937906E-2</v>
      </c>
      <c r="AI8">
        <f>(LCS_Top_Aggregate_ByYear!AI20-LCS_Top_Aggregate_ByYear!AI22)/LCS_Top_Aggregate_ByYear!AI24</f>
        <v>0.94853236417603293</v>
      </c>
      <c r="AJ8">
        <f>(LCS_Top_Aggregate_ByYear!AJ20-LCS_Top_Aggregate_ByYear!AJ22)/LCS_Top_Aggregate_ByYear!AJ24</f>
        <v>0.71104833339338069</v>
      </c>
      <c r="AK8">
        <f>(LCS_Top_Aggregate_ByYear!AK20-LCS_Top_Aggregate_ByYear!AK22)/LCS_Top_Aggregate_ByYear!AK24</f>
        <v>-0.44604611197434768</v>
      </c>
      <c r="AL8">
        <f>(LCS_Top_Aggregate_ByYear!AL20-LCS_Top_Aggregate_ByYear!AL22)/LCS_Top_Aggregate_ByYear!AL24</f>
        <v>-0.64064223523779384</v>
      </c>
      <c r="AM8">
        <f>(LCS_Top_Aggregate_ByYear!AM20-LCS_Top_Aggregate_ByYear!AM22)/LCS_Top_Aggregate_ByYear!AM24</f>
        <v>-0.55383619751297353</v>
      </c>
    </row>
    <row r="9" spans="1:39" x14ac:dyDescent="0.25">
      <c r="A9" t="s">
        <v>37</v>
      </c>
      <c r="B9">
        <v>2021</v>
      </c>
      <c r="C9">
        <v>0</v>
      </c>
      <c r="D9">
        <f>(LCS_Top_Aggregate_ByYear!D21-LCS_Top_Aggregate_ByYear!D23)/LCS_Top_Aggregate_ByYear!D25</f>
        <v>0.16753188364953026</v>
      </c>
      <c r="E9">
        <f>(LCS_Top_Aggregate_ByYear!E21-LCS_Top_Aggregate_ByYear!E23)/LCS_Top_Aggregate_ByYear!E25</f>
        <v>6.3229719724155848E-3</v>
      </c>
      <c r="F9">
        <f>(LCS_Top_Aggregate_ByYear!F21-LCS_Top_Aggregate_ByYear!F23)/LCS_Top_Aggregate_ByYear!F25</f>
        <v>-0.74844258430660993</v>
      </c>
      <c r="G9">
        <f>(LCS_Top_Aggregate_ByYear!G21-LCS_Top_Aggregate_ByYear!G23)/LCS_Top_Aggregate_ByYear!G25</f>
        <v>-0.50338823690746826</v>
      </c>
      <c r="H9">
        <f>(LCS_Top_Aggregate_ByYear!H21-LCS_Top_Aggregate_ByYear!H23)/LCS_Top_Aggregate_ByYear!H25</f>
        <v>0.69654127955392597</v>
      </c>
      <c r="I9">
        <v>0.69654127955392597</v>
      </c>
      <c r="J9">
        <f>(LCS_Top_Aggregate_ByYear!J21-LCS_Top_Aggregate_ByYear!J23)/LCS_Top_Aggregate_ByYear!J25</f>
        <v>0.38023604124358074</v>
      </c>
      <c r="K9">
        <f>(LCS_Top_Aggregate_ByYear!K21-LCS_Top_Aggregate_ByYear!K23)/LCS_Top_Aggregate_ByYear!K25</f>
        <v>0.53890136619267781</v>
      </c>
      <c r="L9">
        <f>(LCS_Top_Aggregate_ByYear!L21-LCS_Top_Aggregate_ByYear!L23)/LCS_Top_Aggregate_ByYear!L25</f>
        <v>0.50980917653620605</v>
      </c>
      <c r="M9">
        <f>(LCS_Top_Aggregate_ByYear!M21-LCS_Top_Aggregate_ByYear!M23)/LCS_Top_Aggregate_ByYear!M25</f>
        <v>-0.33460267380856185</v>
      </c>
      <c r="N9">
        <f>(LCS_Top_Aggregate_ByYear!N21-LCS_Top_Aggregate_ByYear!N23)/LCS_Top_Aggregate_ByYear!N25</f>
        <v>-9.7809372428330404E-2</v>
      </c>
      <c r="O9">
        <f>(LCS_Top_Aggregate_ByYear!O21-LCS_Top_Aggregate_ByYear!O23)/LCS_Top_Aggregate_ByYear!O25</f>
        <v>-0.46569116931659477</v>
      </c>
      <c r="P9">
        <f>(LCS_Top_Aggregate_ByYear!P21-LCS_Top_Aggregate_ByYear!P23)/LCS_Top_Aggregate_ByYear!P25</f>
        <v>0.79830856614551537</v>
      </c>
      <c r="Q9">
        <f>(LCS_Top_Aggregate_ByYear!Q21-LCS_Top_Aggregate_ByYear!Q23)/LCS_Top_Aggregate_ByYear!Q25</f>
        <v>1.2096297789802473</v>
      </c>
      <c r="R9">
        <f>(LCS_Top_Aggregate_ByYear!R21-LCS_Top_Aggregate_ByYear!R23)/LCS_Top_Aggregate_ByYear!R25</f>
        <v>-0.53062381820195237</v>
      </c>
      <c r="S9">
        <f>(LCS_Top_Aggregate_ByYear!S21-LCS_Top_Aggregate_ByYear!S23)/LCS_Top_Aggregate_ByYear!S25</f>
        <v>-0.18863728985480463</v>
      </c>
      <c r="T9">
        <f>(LCS_Top_Aggregate_ByYear!T21-LCS_Top_Aggregate_ByYear!T23)/LCS_Top_Aggregate_ByYear!T25</f>
        <v>-0.66799598267431304</v>
      </c>
      <c r="U9">
        <f>(LCS_Top_Aggregate_ByYear!U21-LCS_Top_Aggregate_ByYear!U23)/LCS_Top_Aggregate_ByYear!U25</f>
        <v>7.0284390367436986E-2</v>
      </c>
      <c r="V9">
        <f>(LCS_Top_Aggregate_ByYear!V21-LCS_Top_Aggregate_ByYear!V23)/LCS_Top_Aggregate_ByYear!V25</f>
        <v>0.68411346397795592</v>
      </c>
      <c r="W9">
        <f>(LCS_Top_Aggregate_ByYear!W21-LCS_Top_Aggregate_ByYear!W23)/LCS_Top_Aggregate_ByYear!W25</f>
        <v>0.96182805808159422</v>
      </c>
      <c r="X9">
        <f>(LCS_Top_Aggregate_ByYear!X21-LCS_Top_Aggregate_ByYear!X23)/LCS_Top_Aggregate_ByYear!X25</f>
        <v>1.0064807148013026</v>
      </c>
      <c r="Y9">
        <f>(LCS_Top_Aggregate_ByYear!Y21-LCS_Top_Aggregate_ByYear!Y23)/LCS_Top_Aggregate_ByYear!Y25</f>
        <v>-2.3727009207418624E-2</v>
      </c>
      <c r="Z9">
        <f>(LCS_Top_Aggregate_ByYear!Z21-LCS_Top_Aggregate_ByYear!Z23)/LCS_Top_Aggregate_ByYear!Z25</f>
        <v>8.109865596150044E-2</v>
      </c>
      <c r="AA9">
        <f>(LCS_Top_Aggregate_ByYear!AA21-LCS_Top_Aggregate_ByYear!AA23)/LCS_Top_Aggregate_ByYear!AA25</f>
        <v>0.14460605865919654</v>
      </c>
      <c r="AB9">
        <f>(LCS_Top_Aggregate_ByYear!AB21-LCS_Top_Aggregate_ByYear!AB23)/LCS_Top_Aggregate_ByYear!AB25</f>
        <v>0.43853652586976072</v>
      </c>
      <c r="AC9">
        <f>(LCS_Top_Aggregate_ByYear!AC21-LCS_Top_Aggregate_ByYear!AC23)/LCS_Top_Aggregate_ByYear!AC25</f>
        <v>0.82660880863769537</v>
      </c>
      <c r="AD9">
        <f>(LCS_Top_Aggregate_ByYear!AD21-LCS_Top_Aggregate_ByYear!AD23)/LCS_Top_Aggregate_ByYear!AD25</f>
        <v>0.67958004950674367</v>
      </c>
      <c r="AE9">
        <f>(LCS_Top_Aggregate_ByYear!AE21-LCS_Top_Aggregate_ByYear!AE23)/LCS_Top_Aggregate_ByYear!AE25</f>
        <v>0.27355123948077431</v>
      </c>
      <c r="AF9">
        <f>(LCS_Top_Aggregate_ByYear!AF21-LCS_Top_Aggregate_ByYear!AF23)/LCS_Top_Aggregate_ByYear!AF25</f>
        <v>0.61334280531309149</v>
      </c>
      <c r="AG9">
        <f>(LCS_Top_Aggregate_ByYear!AG21-LCS_Top_Aggregate_ByYear!AG23)/LCS_Top_Aggregate_ByYear!AG25</f>
        <v>0.86800681150374948</v>
      </c>
      <c r="AH9">
        <f>(LCS_Top_Aggregate_ByYear!AH21-LCS_Top_Aggregate_ByYear!AH23)/LCS_Top_Aggregate_ByYear!AH25</f>
        <v>0.42432004052968281</v>
      </c>
      <c r="AI9">
        <f>(LCS_Top_Aggregate_ByYear!AI21-LCS_Top_Aggregate_ByYear!AI23)/LCS_Top_Aggregate_ByYear!AI25</f>
        <v>0.29527479952127383</v>
      </c>
      <c r="AJ9">
        <f>(LCS_Top_Aggregate_ByYear!AJ21-LCS_Top_Aggregate_ByYear!AJ23)/LCS_Top_Aggregate_ByYear!AJ25</f>
        <v>0.31667236604290933</v>
      </c>
      <c r="AK9">
        <f>(LCS_Top_Aggregate_ByYear!AK21-LCS_Top_Aggregate_ByYear!AK23)/LCS_Top_Aggregate_ByYear!AK25</f>
        <v>-9.4851735700447498E-2</v>
      </c>
      <c r="AL9">
        <f>(LCS_Top_Aggregate_ByYear!AL21-LCS_Top_Aggregate_ByYear!AL23)/LCS_Top_Aggregate_ByYear!AL25</f>
        <v>0.26356385597053428</v>
      </c>
      <c r="AM9">
        <f>(LCS_Top_Aggregate_ByYear!AM21-LCS_Top_Aggregate_ByYear!AM23)/LCS_Top_Aggregate_ByYear!AM25</f>
        <v>0.36433192860685998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8"/>
  <sheetViews>
    <sheetView workbookViewId="0">
      <selection activeCell="N14" sqref="N14"/>
    </sheetView>
  </sheetViews>
  <sheetFormatPr defaultRowHeight="15" x14ac:dyDescent="0.25"/>
  <cols>
    <col min="1" max="1" width="36.28515625" customWidth="1"/>
  </cols>
  <sheetData>
    <row r="1" spans="1:9" x14ac:dyDescent="0.25">
      <c r="A1" t="s">
        <v>0</v>
      </c>
      <c r="B1" t="s">
        <v>37</v>
      </c>
      <c r="C1" t="s">
        <v>37</v>
      </c>
      <c r="D1" t="s">
        <v>37</v>
      </c>
      <c r="E1" t="s">
        <v>37</v>
      </c>
      <c r="F1" t="s">
        <v>37</v>
      </c>
      <c r="G1" t="s">
        <v>37</v>
      </c>
      <c r="H1" t="s">
        <v>37</v>
      </c>
      <c r="I1" t="s">
        <v>37</v>
      </c>
    </row>
    <row r="2" spans="1:9" x14ac:dyDescent="0.25">
      <c r="A2" t="s">
        <v>1</v>
      </c>
      <c r="B2">
        <v>2018</v>
      </c>
      <c r="C2">
        <v>2018</v>
      </c>
      <c r="D2">
        <v>2019</v>
      </c>
      <c r="E2">
        <v>2019</v>
      </c>
      <c r="F2">
        <v>2020</v>
      </c>
      <c r="G2">
        <v>2020</v>
      </c>
      <c r="H2">
        <v>2021</v>
      </c>
      <c r="I2">
        <v>2021</v>
      </c>
    </row>
    <row r="3" spans="1:9" x14ac:dyDescent="0.25">
      <c r="A3" t="s">
        <v>2</v>
      </c>
      <c r="B3">
        <v>1</v>
      </c>
      <c r="C3">
        <v>0</v>
      </c>
      <c r="D3">
        <v>1</v>
      </c>
      <c r="E3">
        <v>0</v>
      </c>
      <c r="F3">
        <v>1</v>
      </c>
      <c r="G3">
        <v>0</v>
      </c>
      <c r="H3">
        <v>1</v>
      </c>
      <c r="I3">
        <v>0</v>
      </c>
    </row>
    <row r="4" spans="1:9" x14ac:dyDescent="0.25">
      <c r="A4" t="s">
        <v>3</v>
      </c>
      <c r="B4">
        <v>-1.125227151517225</v>
      </c>
      <c r="C4">
        <v>-0.35355339059327556</v>
      </c>
      <c r="D4">
        <v>-9.589392929521505E-2</v>
      </c>
      <c r="E4">
        <v>-0.21964997896055691</v>
      </c>
      <c r="F4">
        <v>-9.2071250650434713E-2</v>
      </c>
      <c r="G4">
        <v>0.76337003671197989</v>
      </c>
      <c r="H4">
        <v>-1.0676989279345039</v>
      </c>
      <c r="I4">
        <v>0.16753188364953026</v>
      </c>
    </row>
    <row r="5" spans="1:9" x14ac:dyDescent="0.25">
      <c r="A5" t="s">
        <v>4</v>
      </c>
      <c r="B5">
        <v>-0.48231284301034327</v>
      </c>
      <c r="C5">
        <v>0.26699722797668873</v>
      </c>
      <c r="D5">
        <v>1.3379788535912511</v>
      </c>
      <c r="E5">
        <v>0.15936779867328374</v>
      </c>
      <c r="F5">
        <v>-0.19885155748593045</v>
      </c>
      <c r="G5">
        <v>0.85533720344770314</v>
      </c>
      <c r="H5">
        <v>1.4420657643403187</v>
      </c>
      <c r="I5">
        <v>6.3229719724155848E-3</v>
      </c>
    </row>
    <row r="6" spans="1:9" x14ac:dyDescent="0.25">
      <c r="A6" t="s">
        <v>5</v>
      </c>
      <c r="B6">
        <v>-0.91790894632309994</v>
      </c>
      <c r="C6">
        <v>-0.39728859128769217</v>
      </c>
      <c r="D6">
        <v>0.35564115680838837</v>
      </c>
      <c r="E6">
        <v>-8.3218896938690223E-2</v>
      </c>
      <c r="F6">
        <v>-0.25402254472829933</v>
      </c>
      <c r="G6">
        <v>-1.1547005383792563</v>
      </c>
      <c r="H6">
        <v>0.4407941403605436</v>
      </c>
      <c r="I6">
        <v>-0.74844258430660993</v>
      </c>
    </row>
    <row r="7" spans="1:9" x14ac:dyDescent="0.25">
      <c r="A7" t="s">
        <v>6</v>
      </c>
      <c r="B7">
        <v>-0.99844515689585567</v>
      </c>
      <c r="C7">
        <v>-0.38497099070143664</v>
      </c>
      <c r="D7">
        <v>0.86308031215604997</v>
      </c>
      <c r="E7">
        <v>-0.21317882234814156</v>
      </c>
      <c r="F7">
        <v>0.17259140348639276</v>
      </c>
      <c r="G7">
        <v>-0.6838915900963457</v>
      </c>
      <c r="H7">
        <v>-0.83069632571089014</v>
      </c>
      <c r="I7">
        <v>-0.50338823690746826</v>
      </c>
    </row>
    <row r="8" spans="1:9" x14ac:dyDescent="0.25">
      <c r="A8" t="s">
        <v>40</v>
      </c>
      <c r="B8">
        <v>-0.92782480877762696</v>
      </c>
      <c r="C8">
        <v>8.0738432338433155E-2</v>
      </c>
      <c r="D8">
        <v>4.4413592283017035E-2</v>
      </c>
      <c r="E8">
        <v>-5.2461501713362176E-2</v>
      </c>
      <c r="F8">
        <v>3.8889495473004868E-2</v>
      </c>
      <c r="G8">
        <v>2.9886830101839736</v>
      </c>
      <c r="H8">
        <v>-1.403165700876869</v>
      </c>
      <c r="I8">
        <v>0.69654127955392597</v>
      </c>
    </row>
    <row r="9" spans="1:9" x14ac:dyDescent="0.25">
      <c r="A9" t="s">
        <v>7</v>
      </c>
      <c r="B9">
        <v>-0.57579338597399532</v>
      </c>
      <c r="C9">
        <v>1.6856526355655228E-2</v>
      </c>
      <c r="D9">
        <v>-1.160025399332709</v>
      </c>
      <c r="E9">
        <v>0.80230691070347604</v>
      </c>
      <c r="F9">
        <v>0.17825516547285164</v>
      </c>
      <c r="G9">
        <v>0.46020571123784304</v>
      </c>
      <c r="H9">
        <v>-1.0862251419426767</v>
      </c>
      <c r="I9">
        <v>0.38023604124358074</v>
      </c>
    </row>
    <row r="10" spans="1:9" x14ac:dyDescent="0.25">
      <c r="A10" t="s">
        <v>8</v>
      </c>
      <c r="B10">
        <v>-0.91080287927525061</v>
      </c>
      <c r="C10">
        <v>0.25106441745779284</v>
      </c>
      <c r="D10">
        <v>-0.43986784115412508</v>
      </c>
      <c r="E10">
        <v>0.47387850012854071</v>
      </c>
      <c r="F10">
        <v>5.4990487661481808E-3</v>
      </c>
      <c r="G10">
        <v>-0.23232325021973593</v>
      </c>
      <c r="H10">
        <v>-0.48802323898175093</v>
      </c>
      <c r="I10">
        <v>0.53890136619267781</v>
      </c>
    </row>
    <row r="11" spans="1:9" x14ac:dyDescent="0.25">
      <c r="A11" t="s">
        <v>9</v>
      </c>
      <c r="B11">
        <v>-0.81102504073365167</v>
      </c>
      <c r="C11">
        <v>0.21461928043893827</v>
      </c>
      <c r="D11">
        <v>0.19812670524645626</v>
      </c>
      <c r="E11">
        <v>0.17650451959061239</v>
      </c>
      <c r="F11">
        <v>-0.13103215635166132</v>
      </c>
      <c r="G11">
        <v>-0.46979276978374557</v>
      </c>
      <c r="H11">
        <v>0.19296973445748161</v>
      </c>
      <c r="I11">
        <v>0.50980917653620605</v>
      </c>
    </row>
    <row r="12" spans="1:9" x14ac:dyDescent="0.25">
      <c r="A12" t="s">
        <v>10</v>
      </c>
      <c r="B12">
        <v>-2.160976285033148</v>
      </c>
      <c r="C12">
        <v>-0.1299977722354608</v>
      </c>
      <c r="D12">
        <v>0.1633160346224159</v>
      </c>
      <c r="E12">
        <v>-0.36854116858580704</v>
      </c>
      <c r="F12">
        <v>-0.32009885897814883</v>
      </c>
      <c r="G12">
        <v>-0.42285042951590346</v>
      </c>
      <c r="H12">
        <v>1.0791757616158362</v>
      </c>
      <c r="I12">
        <v>-0.33460267380856185</v>
      </c>
    </row>
    <row r="13" spans="1:9" x14ac:dyDescent="0.25">
      <c r="A13" t="s">
        <v>11</v>
      </c>
      <c r="B13">
        <v>0.2809555509104768</v>
      </c>
      <c r="C13">
        <v>6.7211027172248597E-2</v>
      </c>
      <c r="D13">
        <v>-0.57789390122966522</v>
      </c>
      <c r="E13">
        <v>0.59834683641874153</v>
      </c>
      <c r="F13">
        <v>0.61055427161542697</v>
      </c>
      <c r="G13">
        <v>-0.69155669275785658</v>
      </c>
      <c r="H13">
        <v>-0.91826061426612426</v>
      </c>
      <c r="I13">
        <v>-9.7809372428330404E-2</v>
      </c>
    </row>
    <row r="14" spans="1:9" x14ac:dyDescent="0.25">
      <c r="A14" t="s">
        <v>12</v>
      </c>
      <c r="B14">
        <v>-1.2517793350321487</v>
      </c>
      <c r="C14">
        <v>0.11685532508896128</v>
      </c>
      <c r="D14">
        <v>-0.74940279389497377</v>
      </c>
      <c r="E14">
        <v>-6.6537126525377938E-2</v>
      </c>
      <c r="F14">
        <v>0.26117513498750333</v>
      </c>
      <c r="G14">
        <v>-0.59240249568051473</v>
      </c>
      <c r="H14">
        <v>-1.1227016211961471</v>
      </c>
      <c r="I14">
        <v>-0.46569116931659477</v>
      </c>
    </row>
    <row r="15" spans="1:9" x14ac:dyDescent="0.25">
      <c r="A15" t="s">
        <v>13</v>
      </c>
      <c r="B15">
        <v>-0.55852319578829257</v>
      </c>
      <c r="C15">
        <v>0.44428237762990347</v>
      </c>
      <c r="D15">
        <v>-0.58871499666728555</v>
      </c>
      <c r="E15">
        <v>-0.37324572888305219</v>
      </c>
      <c r="F15">
        <v>-0.14407853499843321</v>
      </c>
      <c r="G15">
        <v>0.41151644462304093</v>
      </c>
      <c r="H15">
        <v>0.10196474342647817</v>
      </c>
      <c r="I15">
        <v>0.79830856614551537</v>
      </c>
    </row>
    <row r="16" spans="1:9" x14ac:dyDescent="0.25">
      <c r="A16" t="s">
        <v>14</v>
      </c>
      <c r="B16">
        <v>-0.30564523468798194</v>
      </c>
      <c r="C16">
        <v>0.23049010190893193</v>
      </c>
      <c r="D16">
        <v>-0.25614141281745995</v>
      </c>
      <c r="E16">
        <v>-0.33141168746590133</v>
      </c>
      <c r="F16">
        <v>-0.30148655823076137</v>
      </c>
      <c r="G16">
        <v>1.4304579501627939</v>
      </c>
      <c r="H16">
        <v>0.85415091975224089</v>
      </c>
      <c r="I16">
        <v>1.2096297789802473</v>
      </c>
    </row>
    <row r="17" spans="1:9" x14ac:dyDescent="0.25">
      <c r="A17" t="s">
        <v>15</v>
      </c>
      <c r="B17">
        <v>-0.68185197367393169</v>
      </c>
      <c r="C17">
        <v>-0.28741484327547312</v>
      </c>
      <c r="D17">
        <v>-0.27793594852325054</v>
      </c>
      <c r="E17">
        <v>0.13189438689712779</v>
      </c>
      <c r="F17">
        <v>-0.11306196103438999</v>
      </c>
      <c r="G17">
        <v>0.2724497062079832</v>
      </c>
      <c r="H17">
        <v>-0.49342965652692899</v>
      </c>
      <c r="I17">
        <v>-0.53062381820195237</v>
      </c>
    </row>
    <row r="18" spans="1:9" x14ac:dyDescent="0.25">
      <c r="A18" t="s">
        <v>16</v>
      </c>
      <c r="B18">
        <v>-1.1938777459651937</v>
      </c>
      <c r="C18">
        <v>-0.11498972441378912</v>
      </c>
      <c r="D18">
        <v>-0.1331499823144795</v>
      </c>
      <c r="E18">
        <v>-5.4998505632902803E-2</v>
      </c>
      <c r="F18">
        <v>-0.3902892767542826</v>
      </c>
      <c r="G18">
        <v>-0.41170225404521132</v>
      </c>
      <c r="H18">
        <v>0.21388301734457341</v>
      </c>
      <c r="I18">
        <v>-0.18863728985480463</v>
      </c>
    </row>
    <row r="19" spans="1:9" x14ac:dyDescent="0.25">
      <c r="A19" t="s">
        <v>17</v>
      </c>
      <c r="B19">
        <v>0.20739447989363805</v>
      </c>
      <c r="C19">
        <v>0.36152840680403248</v>
      </c>
      <c r="D19">
        <v>-0.24546301690559541</v>
      </c>
      <c r="E19">
        <v>-0.38173362225404672</v>
      </c>
      <c r="F19">
        <v>0.29583374613566271</v>
      </c>
      <c r="G19">
        <v>-0.83469835707655782</v>
      </c>
      <c r="H19">
        <v>-0.17538179769616311</v>
      </c>
      <c r="I19">
        <v>-0.66799598267431304</v>
      </c>
    </row>
    <row r="20" spans="1:9" x14ac:dyDescent="0.25">
      <c r="A20" t="s">
        <v>18</v>
      </c>
      <c r="B20">
        <v>-1.0939072847959612</v>
      </c>
      <c r="C20">
        <v>-4.6562577453340137E-2</v>
      </c>
      <c r="D20">
        <v>-3.9197022158012317E-2</v>
      </c>
      <c r="E20">
        <v>0.46031856461286086</v>
      </c>
      <c r="F20">
        <v>-0.46752526658892057</v>
      </c>
      <c r="G20">
        <v>5.9103783432530643E-2</v>
      </c>
      <c r="H20">
        <v>0.16288794478784535</v>
      </c>
      <c r="I20">
        <v>7.0284390367436986E-2</v>
      </c>
    </row>
    <row r="21" spans="1:9" x14ac:dyDescent="0.25">
      <c r="A21" t="s">
        <v>19</v>
      </c>
      <c r="B21">
        <v>0.15762037542734858</v>
      </c>
      <c r="C21">
        <v>0.41349429056723858</v>
      </c>
      <c r="D21">
        <v>1.1434765317834681</v>
      </c>
      <c r="E21">
        <v>-5.9668107927935754E-2</v>
      </c>
      <c r="F21">
        <v>-0.66976236259209077</v>
      </c>
      <c r="G21">
        <v>2.5359725472612564</v>
      </c>
      <c r="H21">
        <v>-0.44353897845562984</v>
      </c>
      <c r="I21">
        <v>0.68411346397795592</v>
      </c>
    </row>
    <row r="22" spans="1:9" x14ac:dyDescent="0.25">
      <c r="A22" t="s">
        <v>20</v>
      </c>
      <c r="B22">
        <v>0.36705079265435708</v>
      </c>
      <c r="C22">
        <v>-0.13670127611916388</v>
      </c>
      <c r="D22">
        <v>1.4195882306966459</v>
      </c>
      <c r="E22">
        <v>1.4466844397277653E-2</v>
      </c>
      <c r="F22">
        <v>6.4578674818238008E-2</v>
      </c>
      <c r="G22">
        <v>0.13149615251405511</v>
      </c>
      <c r="H22">
        <v>-0.10458583036948076</v>
      </c>
      <c r="I22">
        <v>0.96182805808159422</v>
      </c>
    </row>
    <row r="23" spans="1:9" x14ac:dyDescent="0.25">
      <c r="A23" t="s">
        <v>21</v>
      </c>
      <c r="B23">
        <v>0.71247630080431568</v>
      </c>
      <c r="C23">
        <v>0.25838190375081876</v>
      </c>
      <c r="D23">
        <v>1.5658594598757749</v>
      </c>
      <c r="E23">
        <v>0.70554505265418332</v>
      </c>
      <c r="F23">
        <v>-6.5353990842997714E-2</v>
      </c>
      <c r="G23">
        <v>0.54902873783744033</v>
      </c>
      <c r="H23">
        <v>0.23998239208007488</v>
      </c>
      <c r="I23">
        <v>1.0064807148013026</v>
      </c>
    </row>
    <row r="24" spans="1:9" x14ac:dyDescent="0.25">
      <c r="A24" t="s">
        <v>22</v>
      </c>
      <c r="B24">
        <v>-4.4748587062507852E-3</v>
      </c>
      <c r="C24">
        <v>1.1063431812786735</v>
      </c>
      <c r="D24">
        <v>0.72530830972430205</v>
      </c>
      <c r="E24">
        <v>0.41032194505577696</v>
      </c>
      <c r="F24">
        <v>0.19526777571947737</v>
      </c>
      <c r="G24">
        <v>-0.93080411633377591</v>
      </c>
      <c r="H24">
        <v>1.0531876648542435</v>
      </c>
      <c r="I24">
        <v>-2.3727009207418624E-2</v>
      </c>
    </row>
    <row r="25" spans="1:9" x14ac:dyDescent="0.25">
      <c r="A25" t="s">
        <v>23</v>
      </c>
      <c r="B25">
        <v>0.48545968252167421</v>
      </c>
      <c r="C25">
        <v>0.37608215809050899</v>
      </c>
      <c r="D25">
        <v>0.78191861243877148</v>
      </c>
      <c r="E25">
        <v>0.15614126641346704</v>
      </c>
      <c r="F25">
        <v>0.34837518261107026</v>
      </c>
      <c r="G25">
        <v>-1.7942858737210741</v>
      </c>
      <c r="H25">
        <v>1.4853153292695296</v>
      </c>
      <c r="I25">
        <v>8.109865596150044E-2</v>
      </c>
    </row>
    <row r="26" spans="1:9" x14ac:dyDescent="0.25">
      <c r="A26" t="s">
        <v>24</v>
      </c>
      <c r="B26">
        <v>1.053883107354908</v>
      </c>
      <c r="C26">
        <v>-2.6111885775226837E-3</v>
      </c>
      <c r="D26">
        <v>0.66740090147356668</v>
      </c>
      <c r="E26">
        <v>-0.27502900935214025</v>
      </c>
      <c r="F26">
        <v>0.40880581524236848</v>
      </c>
      <c r="G26">
        <v>-0.52615221960198066</v>
      </c>
      <c r="H26">
        <v>1.5621129145438306</v>
      </c>
      <c r="I26">
        <v>0.14460605865919654</v>
      </c>
    </row>
    <row r="27" spans="1:9" x14ac:dyDescent="0.25">
      <c r="A27" t="s">
        <v>25</v>
      </c>
      <c r="B27">
        <v>9.3665186675028503E-2</v>
      </c>
      <c r="C27">
        <v>-0.59220678465939625</v>
      </c>
      <c r="D27">
        <v>0.23032332502976199</v>
      </c>
      <c r="E27">
        <v>-0.2611372782436418</v>
      </c>
      <c r="F27">
        <v>-0.50292206948978713</v>
      </c>
      <c r="G27">
        <v>1.9376007514255107</v>
      </c>
      <c r="H27">
        <v>-0.93364822285361726</v>
      </c>
      <c r="I27">
        <v>0.43853652586976072</v>
      </c>
    </row>
    <row r="28" spans="1:9" x14ac:dyDescent="0.25">
      <c r="A28" t="s">
        <v>26</v>
      </c>
      <c r="B28">
        <v>-2.4381985190578267E-2</v>
      </c>
      <c r="C28">
        <v>-0.46208763848058904</v>
      </c>
      <c r="D28">
        <v>0.34938456712435267</v>
      </c>
      <c r="E28">
        <v>-7.7253080890264128E-2</v>
      </c>
      <c r="F28">
        <v>-0.22485104043994081</v>
      </c>
      <c r="G28">
        <v>1.1284989351804844</v>
      </c>
      <c r="H28">
        <v>-1.5001693330449533</v>
      </c>
      <c r="I28">
        <v>0.82660880863769537</v>
      </c>
    </row>
    <row r="29" spans="1:9" x14ac:dyDescent="0.25">
      <c r="A29" t="s">
        <v>27</v>
      </c>
      <c r="B29">
        <v>8.072604496858525E-2</v>
      </c>
      <c r="C29">
        <v>0.22944007497646668</v>
      </c>
      <c r="D29">
        <v>0.6479507850895323</v>
      </c>
      <c r="E29">
        <v>0.57287528863393822</v>
      </c>
      <c r="F29">
        <v>-0.3927852365652566</v>
      </c>
      <c r="G29">
        <v>0.6845894166674954</v>
      </c>
      <c r="H29">
        <v>-1.039602016940018</v>
      </c>
      <c r="I29">
        <v>0.67958004950674367</v>
      </c>
    </row>
    <row r="30" spans="1:9" x14ac:dyDescent="0.25">
      <c r="A30" t="s">
        <v>28</v>
      </c>
      <c r="B30">
        <v>-0.21902810199752151</v>
      </c>
      <c r="C30">
        <v>-0.19109216028259096</v>
      </c>
      <c r="D30">
        <v>0.18458162124476921</v>
      </c>
      <c r="E30">
        <v>0.31655500991882046</v>
      </c>
      <c r="F30">
        <v>-0.59982255439358967</v>
      </c>
      <c r="G30">
        <v>0.31535515300614436</v>
      </c>
      <c r="H30">
        <v>-0.58940554649419796</v>
      </c>
      <c r="I30">
        <v>0.27355123948077431</v>
      </c>
    </row>
    <row r="31" spans="1:9" x14ac:dyDescent="0.25">
      <c r="A31" t="s">
        <v>29</v>
      </c>
      <c r="B31">
        <v>0.17613201732514464</v>
      </c>
      <c r="C31">
        <v>-0.10414257863788282</v>
      </c>
      <c r="D31">
        <v>0.12500639561591834</v>
      </c>
      <c r="E31">
        <v>0.15870132483552934</v>
      </c>
      <c r="F31">
        <v>8.7585357061176983E-2</v>
      </c>
      <c r="G31">
        <v>0.38343879285766336</v>
      </c>
      <c r="H31">
        <v>0.20703949028391558</v>
      </c>
      <c r="I31">
        <v>0.61334280531309149</v>
      </c>
    </row>
    <row r="32" spans="1:9" x14ac:dyDescent="0.25">
      <c r="A32" t="s">
        <v>30</v>
      </c>
      <c r="B32">
        <v>0.62105021905006152</v>
      </c>
      <c r="C32">
        <v>0.33155228606089399</v>
      </c>
      <c r="D32">
        <v>1.0099394437954254</v>
      </c>
      <c r="E32">
        <v>1.1202784662582177</v>
      </c>
      <c r="F32">
        <v>8.1549006867327606E-2</v>
      </c>
      <c r="G32">
        <v>0.28885570815600281</v>
      </c>
      <c r="H32">
        <v>-4.5504171354493013E-3</v>
      </c>
      <c r="I32">
        <v>0.86800681150374948</v>
      </c>
    </row>
    <row r="33" spans="1:9" x14ac:dyDescent="0.25">
      <c r="A33" t="s">
        <v>31</v>
      </c>
      <c r="B33">
        <v>8.449571616961736E-2</v>
      </c>
      <c r="C33">
        <v>0.8977219285066389</v>
      </c>
      <c r="D33">
        <v>0.52643414984463799</v>
      </c>
      <c r="E33">
        <v>-7.8920648913211794E-2</v>
      </c>
      <c r="F33">
        <v>0.24150047045147346</v>
      </c>
      <c r="G33">
        <v>1.1034428897193818</v>
      </c>
      <c r="H33">
        <v>9.9305033833937906E-2</v>
      </c>
      <c r="I33">
        <v>0.42432004052968281</v>
      </c>
    </row>
    <row r="34" spans="1:9" x14ac:dyDescent="0.25">
      <c r="A34" t="s">
        <v>32</v>
      </c>
      <c r="B34">
        <v>0.39973041856907821</v>
      </c>
      <c r="C34">
        <v>0.42572388299584574</v>
      </c>
      <c r="D34">
        <v>1.4366245445390837</v>
      </c>
      <c r="E34">
        <v>0.22101031620179248</v>
      </c>
      <c r="F34">
        <v>4.2195466507843761E-2</v>
      </c>
      <c r="G34">
        <v>-0.78689638461963174</v>
      </c>
      <c r="H34">
        <v>0.94853236417603293</v>
      </c>
      <c r="I34">
        <v>0.29527479952127383</v>
      </c>
    </row>
    <row r="35" spans="1:9" x14ac:dyDescent="0.25">
      <c r="A35" t="s">
        <v>33</v>
      </c>
      <c r="B35">
        <v>0.90995533977514131</v>
      </c>
      <c r="C35">
        <v>0.10630907701318124</v>
      </c>
      <c r="D35">
        <v>0.98454262944892834</v>
      </c>
      <c r="E35">
        <v>4.827154381893687E-2</v>
      </c>
      <c r="F35">
        <v>6.3850679478637359E-2</v>
      </c>
      <c r="G35">
        <v>0.38398615102210581</v>
      </c>
      <c r="H35">
        <v>0.71104833339338069</v>
      </c>
      <c r="I35">
        <v>0.31667236604290933</v>
      </c>
    </row>
    <row r="36" spans="1:9" x14ac:dyDescent="0.25">
      <c r="A36" t="s">
        <v>34</v>
      </c>
      <c r="B36">
        <v>-0.17493368630138842</v>
      </c>
      <c r="C36">
        <v>-0.69282234830684386</v>
      </c>
      <c r="D36">
        <v>-0.20143057419443997</v>
      </c>
      <c r="E36">
        <v>0.23322496738907147</v>
      </c>
      <c r="F36">
        <v>-0.46551048920119842</v>
      </c>
      <c r="G36">
        <v>-0.60219917435145676</v>
      </c>
      <c r="H36">
        <v>-0.44604611197434768</v>
      </c>
      <c r="I36">
        <v>-9.4851735700447498E-2</v>
      </c>
    </row>
    <row r="37" spans="1:9" x14ac:dyDescent="0.25">
      <c r="A37" t="s">
        <v>35</v>
      </c>
      <c r="B37">
        <v>-0.12287301787835347</v>
      </c>
      <c r="C37">
        <v>-0.45136255557946214</v>
      </c>
      <c r="D37">
        <v>-0.74889073410576668</v>
      </c>
      <c r="E37">
        <v>-4.4990210898180935E-2</v>
      </c>
      <c r="F37">
        <v>2.4659212235495161E-2</v>
      </c>
      <c r="G37">
        <v>0.72322967351707135</v>
      </c>
      <c r="H37">
        <v>-0.64064223523779384</v>
      </c>
      <c r="I37">
        <v>0.26356385597053428</v>
      </c>
    </row>
    <row r="38" spans="1:9" x14ac:dyDescent="0.25">
      <c r="A38" t="s">
        <v>36</v>
      </c>
      <c r="B38">
        <v>5.2207768271317796E-3</v>
      </c>
      <c r="C38">
        <v>0.21888705265218206</v>
      </c>
      <c r="D38">
        <v>6.2150388949965857E-2</v>
      </c>
      <c r="E38">
        <v>0.55452718729391126</v>
      </c>
      <c r="F38">
        <v>4.1506409131510423E-3</v>
      </c>
      <c r="G38">
        <v>-1.7503501050350131E-2</v>
      </c>
      <c r="H38">
        <v>-0.55383619751297353</v>
      </c>
      <c r="I38">
        <v>0.36433192860685998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3"/>
  <sheetViews>
    <sheetView tabSelected="1" workbookViewId="0">
      <selection activeCell="H35" sqref="H35"/>
    </sheetView>
  </sheetViews>
  <sheetFormatPr defaultRowHeight="15" x14ac:dyDescent="0.25"/>
  <cols>
    <col min="1" max="1" width="30.28515625" customWidth="1"/>
    <col min="8" max="8" width="19.7109375" bestFit="1" customWidth="1"/>
    <col min="9" max="9" width="32.42578125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40</v>
      </c>
      <c r="I1" t="s">
        <v>42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</row>
    <row r="2" spans="1:39" x14ac:dyDescent="0.25">
      <c r="A2" t="s">
        <v>37</v>
      </c>
      <c r="B2">
        <v>2018</v>
      </c>
      <c r="C2">
        <v>1</v>
      </c>
      <c r="D2">
        <v>0.66669999999999996</v>
      </c>
      <c r="E2">
        <v>0.66669999999999996</v>
      </c>
      <c r="F2">
        <v>3.6667000000000001</v>
      </c>
      <c r="G2" s="1">
        <v>2.5</v>
      </c>
      <c r="H2">
        <v>7.4074</v>
      </c>
      <c r="I2" s="2">
        <v>7.4074</v>
      </c>
      <c r="J2" s="1">
        <v>0.20085300505161199</v>
      </c>
      <c r="K2">
        <v>0.160547668735186</v>
      </c>
      <c r="L2" s="1">
        <v>0.81200647495031297</v>
      </c>
      <c r="M2" s="1">
        <v>30.071870371347</v>
      </c>
      <c r="N2">
        <v>310.66669999999999</v>
      </c>
      <c r="O2">
        <v>9601</v>
      </c>
      <c r="P2">
        <v>13813</v>
      </c>
      <c r="Q2">
        <v>1.4387000000000001</v>
      </c>
      <c r="R2">
        <v>3532</v>
      </c>
      <c r="S2">
        <v>285.35296122233001</v>
      </c>
      <c r="T2">
        <v>2207.3332999999998</v>
      </c>
      <c r="U2">
        <v>7.6318743844060304</v>
      </c>
      <c r="V2">
        <v>3375</v>
      </c>
      <c r="W2">
        <v>4685</v>
      </c>
      <c r="X2">
        <v>87.666700000000006</v>
      </c>
      <c r="Y2">
        <v>3315.3332999999998</v>
      </c>
      <c r="Z2">
        <v>4740</v>
      </c>
      <c r="AA2">
        <v>89.666700000000006</v>
      </c>
      <c r="AB2">
        <v>59.666699999999999</v>
      </c>
      <c r="AC2">
        <v>-55</v>
      </c>
      <c r="AD2">
        <v>-2</v>
      </c>
      <c r="AE2">
        <v>5097</v>
      </c>
      <c r="AF2">
        <v>7301.6666999999998</v>
      </c>
      <c r="AG2">
        <v>137.33330000000001</v>
      </c>
      <c r="AH2">
        <v>5187.3333000000002</v>
      </c>
      <c r="AI2">
        <v>7462.6666999999998</v>
      </c>
      <c r="AJ2">
        <v>142</v>
      </c>
      <c r="AK2">
        <v>-90.333299999999994</v>
      </c>
      <c r="AL2">
        <v>-161</v>
      </c>
      <c r="AM2">
        <v>-4.6666999999999996</v>
      </c>
    </row>
    <row r="3" spans="1:39" x14ac:dyDescent="0.25">
      <c r="A3" t="s">
        <v>37</v>
      </c>
      <c r="B3">
        <v>2018</v>
      </c>
      <c r="C3">
        <v>0</v>
      </c>
      <c r="D3">
        <v>1</v>
      </c>
      <c r="E3">
        <v>3.5</v>
      </c>
      <c r="F3">
        <v>1.8</v>
      </c>
      <c r="G3" s="1">
        <v>1.0933299999999999</v>
      </c>
      <c r="H3">
        <v>19.035710000000002</v>
      </c>
      <c r="I3" s="2">
        <v>19.035710000000002</v>
      </c>
      <c r="J3" s="1">
        <v>0.22935609668493201</v>
      </c>
      <c r="K3">
        <v>0.26249260008335101</v>
      </c>
      <c r="L3" s="1">
        <v>1.1319637796703299</v>
      </c>
      <c r="M3" s="1">
        <v>70.887510407601198</v>
      </c>
      <c r="N3">
        <v>296.3</v>
      </c>
      <c r="O3">
        <v>12928.8889</v>
      </c>
      <c r="P3">
        <v>30896.4444</v>
      </c>
      <c r="Q3">
        <v>2.2725777800000002</v>
      </c>
      <c r="R3">
        <v>3028.3332999999998</v>
      </c>
      <c r="S3">
        <v>393.40126800537098</v>
      </c>
      <c r="T3">
        <v>2176.4</v>
      </c>
      <c r="U3">
        <v>11.791930404704001</v>
      </c>
      <c r="V3">
        <v>3265.7</v>
      </c>
      <c r="W3">
        <v>4536.5</v>
      </c>
      <c r="X3">
        <v>80.7</v>
      </c>
      <c r="Y3">
        <v>3493.2</v>
      </c>
      <c r="Z3">
        <v>4669</v>
      </c>
      <c r="AA3">
        <v>80.099999999999994</v>
      </c>
      <c r="AB3">
        <v>-227.5</v>
      </c>
      <c r="AC3">
        <v>-132.5</v>
      </c>
      <c r="AD3">
        <v>0.6</v>
      </c>
      <c r="AE3">
        <v>4980.5</v>
      </c>
      <c r="AF3">
        <v>7163.3</v>
      </c>
      <c r="AG3">
        <v>130.6</v>
      </c>
      <c r="AH3">
        <v>5467.4</v>
      </c>
      <c r="AI3">
        <v>7460.2</v>
      </c>
      <c r="AJ3">
        <v>131.69999999999999</v>
      </c>
      <c r="AK3">
        <v>-486.9</v>
      </c>
      <c r="AL3">
        <v>-296.89999999999998</v>
      </c>
      <c r="AM3">
        <v>-1.1000000000000001</v>
      </c>
    </row>
    <row r="4" spans="1:39" x14ac:dyDescent="0.25">
      <c r="A4" t="s">
        <v>38</v>
      </c>
      <c r="B4">
        <v>2018</v>
      </c>
      <c r="C4">
        <v>1</v>
      </c>
      <c r="D4">
        <v>2.5160999999999998</v>
      </c>
      <c r="E4">
        <v>1.3548</v>
      </c>
      <c r="F4">
        <v>6.8387000000000002</v>
      </c>
      <c r="G4" s="1">
        <v>7.1195652200000001</v>
      </c>
      <c r="H4">
        <v>18.258787099999999</v>
      </c>
      <c r="I4" s="2">
        <v>18.258787099999999</v>
      </c>
      <c r="J4" s="1">
        <v>0.214451613926118</v>
      </c>
      <c r="K4">
        <v>0.21897622678549</v>
      </c>
      <c r="L4" s="1">
        <v>1.01639313615166</v>
      </c>
      <c r="M4" s="1">
        <v>69.928043245997401</v>
      </c>
      <c r="N4">
        <v>289.87099999999998</v>
      </c>
      <c r="O4">
        <v>13532.125</v>
      </c>
      <c r="P4">
        <v>23464.333299999998</v>
      </c>
      <c r="Q4">
        <v>1.6386958300000001</v>
      </c>
      <c r="R4">
        <v>7544.3333000000002</v>
      </c>
      <c r="S4">
        <v>454.29740659652202</v>
      </c>
      <c r="T4">
        <v>2086.0967999999998</v>
      </c>
      <c r="U4">
        <v>14.0124584607304</v>
      </c>
      <c r="V4">
        <v>3324.9355</v>
      </c>
      <c r="W4">
        <v>4550.3548000000001</v>
      </c>
      <c r="X4">
        <v>78.258099999999999</v>
      </c>
      <c r="Y4">
        <v>3316.8065000000001</v>
      </c>
      <c r="Z4">
        <v>4592.3226000000004</v>
      </c>
      <c r="AA4">
        <v>81.387100000000004</v>
      </c>
      <c r="AB4">
        <v>8.1289999999999996</v>
      </c>
      <c r="AC4">
        <v>-41.967700000000001</v>
      </c>
      <c r="AD4">
        <v>-3.129</v>
      </c>
      <c r="AE4">
        <v>5215.6129000000001</v>
      </c>
      <c r="AF4">
        <v>7185.7419</v>
      </c>
      <c r="AG4">
        <v>125.5806</v>
      </c>
      <c r="AH4">
        <v>5147.8387000000002</v>
      </c>
      <c r="AI4">
        <v>7234.7419</v>
      </c>
      <c r="AJ4">
        <v>130.35480000000001</v>
      </c>
      <c r="AK4">
        <v>67.774199999999993</v>
      </c>
      <c r="AL4">
        <v>-49</v>
      </c>
      <c r="AM4">
        <v>-4.7742000000000004</v>
      </c>
    </row>
    <row r="5" spans="1:39" x14ac:dyDescent="0.25">
      <c r="A5" t="s">
        <v>38</v>
      </c>
      <c r="B5">
        <v>2018</v>
      </c>
      <c r="C5">
        <v>0</v>
      </c>
      <c r="D5">
        <v>1.4</v>
      </c>
      <c r="E5">
        <v>3.12</v>
      </c>
      <c r="F5">
        <v>2.64</v>
      </c>
      <c r="G5" s="1">
        <v>1.5290520000000001</v>
      </c>
      <c r="H5">
        <v>17.741305000000001</v>
      </c>
      <c r="I5" s="2">
        <v>17.741305000000001</v>
      </c>
      <c r="J5" s="1">
        <v>0.228800880908966</v>
      </c>
      <c r="K5">
        <v>0.246601320505142</v>
      </c>
      <c r="L5" s="1">
        <v>1.0804378462672899</v>
      </c>
      <c r="M5" s="1">
        <v>73.494807668959893</v>
      </c>
      <c r="N5">
        <v>291.95999999999998</v>
      </c>
      <c r="O5">
        <v>12550.1667</v>
      </c>
      <c r="P5">
        <v>26492</v>
      </c>
      <c r="Q5">
        <v>2.12137222</v>
      </c>
      <c r="R5">
        <v>4703.2777999999998</v>
      </c>
      <c r="S5">
        <v>409.17498535156199</v>
      </c>
      <c r="T5">
        <v>2058.52</v>
      </c>
      <c r="U5">
        <v>11.936329758426799</v>
      </c>
      <c r="V5">
        <v>3199</v>
      </c>
      <c r="W5">
        <v>4566.2</v>
      </c>
      <c r="X5">
        <v>78.28</v>
      </c>
      <c r="Y5">
        <v>3258.76</v>
      </c>
      <c r="Z5">
        <v>4550.68</v>
      </c>
      <c r="AA5">
        <v>80.12</v>
      </c>
      <c r="AB5">
        <v>-59.76</v>
      </c>
      <c r="AC5">
        <v>15.52</v>
      </c>
      <c r="AD5">
        <v>-1.84</v>
      </c>
      <c r="AE5">
        <v>5042.92</v>
      </c>
      <c r="AF5">
        <v>7201.8</v>
      </c>
      <c r="AG5">
        <v>126.8</v>
      </c>
      <c r="AH5">
        <v>5142.6400000000003</v>
      </c>
      <c r="AI5">
        <v>7290.76</v>
      </c>
      <c r="AJ5">
        <v>130.68</v>
      </c>
      <c r="AK5">
        <v>-99.72</v>
      </c>
      <c r="AL5">
        <v>-88.96</v>
      </c>
      <c r="AM5">
        <v>-3.88</v>
      </c>
    </row>
    <row r="6" spans="1:39" x14ac:dyDescent="0.25">
      <c r="A6" t="s">
        <v>39</v>
      </c>
      <c r="B6">
        <v>2018</v>
      </c>
      <c r="C6">
        <v>1</v>
      </c>
      <c r="D6">
        <v>1.64357925198154</v>
      </c>
      <c r="E6">
        <v>1.4266673798384499</v>
      </c>
      <c r="F6">
        <v>3.4556804492495599</v>
      </c>
      <c r="G6" s="1">
        <v>4.6267591044881504</v>
      </c>
      <c r="H6">
        <v>11.6955129862245</v>
      </c>
      <c r="I6" s="2">
        <v>11.6955129862245</v>
      </c>
      <c r="J6" s="1">
        <v>2.3617167556558499E-2</v>
      </c>
      <c r="K6">
        <v>6.4150607535186005E-2</v>
      </c>
      <c r="L6" s="1">
        <v>0.25201029676772901</v>
      </c>
      <c r="M6" s="1">
        <v>18.4435956797365</v>
      </c>
      <c r="N6">
        <v>74.017758085250705</v>
      </c>
      <c r="O6">
        <v>3140.4296987368298</v>
      </c>
      <c r="P6">
        <v>17280.0939563096</v>
      </c>
      <c r="Q6">
        <v>0.65433976160029395</v>
      </c>
      <c r="R6">
        <v>5884.4638644673596</v>
      </c>
      <c r="S6">
        <v>141.50899951452601</v>
      </c>
      <c r="T6">
        <v>584.569560685395</v>
      </c>
      <c r="U6">
        <v>5.8328380887549303</v>
      </c>
      <c r="V6">
        <v>317.62708256633999</v>
      </c>
      <c r="W6">
        <v>366.829884840467</v>
      </c>
      <c r="X6">
        <v>13.205491873033001</v>
      </c>
      <c r="Y6">
        <v>329.217098618666</v>
      </c>
      <c r="Z6">
        <v>304.20116297382998</v>
      </c>
      <c r="AA6">
        <v>7.8562792611607399</v>
      </c>
      <c r="AB6">
        <v>550.23324918798403</v>
      </c>
      <c r="AC6">
        <v>534.50528733140095</v>
      </c>
      <c r="AD6">
        <v>13.9855730630598</v>
      </c>
      <c r="AE6">
        <v>541.54192506924198</v>
      </c>
      <c r="AF6">
        <v>658.16994411640303</v>
      </c>
      <c r="AG6">
        <v>18.923912494510599</v>
      </c>
      <c r="AH6">
        <v>467.41541216975099</v>
      </c>
      <c r="AI6">
        <v>570.196285826598</v>
      </c>
      <c r="AJ6">
        <v>12.797551144518399</v>
      </c>
      <c r="AK6">
        <v>903.81391567774403</v>
      </c>
      <c r="AL6">
        <v>911.51012593246503</v>
      </c>
      <c r="AM6">
        <v>20.590805460470101</v>
      </c>
    </row>
    <row r="7" spans="1:39" x14ac:dyDescent="0.25">
      <c r="A7" t="s">
        <v>39</v>
      </c>
      <c r="B7">
        <v>2018</v>
      </c>
      <c r="C7">
        <v>0</v>
      </c>
      <c r="D7">
        <v>1.13137084989847</v>
      </c>
      <c r="E7">
        <v>1.4232357499725701</v>
      </c>
      <c r="F7">
        <v>2.1143320458243999</v>
      </c>
      <c r="G7" s="1">
        <v>1.1318307366643201</v>
      </c>
      <c r="H7">
        <v>16.0320799216687</v>
      </c>
      <c r="I7" s="2">
        <v>16.0320799216687</v>
      </c>
      <c r="J7" s="1">
        <v>3.29377336855491E-2</v>
      </c>
      <c r="K7">
        <v>6.3295626433724106E-2</v>
      </c>
      <c r="L7" s="1">
        <v>0.240080636267438</v>
      </c>
      <c r="M7" s="1">
        <v>20.056476480505999</v>
      </c>
      <c r="N7">
        <v>64.572737281301599</v>
      </c>
      <c r="O7">
        <v>3240.9494365077599</v>
      </c>
      <c r="P7">
        <v>9913.6149029728003</v>
      </c>
      <c r="Q7">
        <v>0.65601758491018602</v>
      </c>
      <c r="R7">
        <v>5827.6200383800197</v>
      </c>
      <c r="S7">
        <v>137.17501652086301</v>
      </c>
      <c r="T7">
        <v>326.06013187754098</v>
      </c>
      <c r="U7">
        <v>3.1011890153095498</v>
      </c>
      <c r="V7">
        <v>161.308152304835</v>
      </c>
      <c r="W7">
        <v>217.26205375076401</v>
      </c>
      <c r="X7">
        <v>9.3659809950693305</v>
      </c>
      <c r="Y7">
        <v>211.905314704468</v>
      </c>
      <c r="Z7">
        <v>314.61210656934298</v>
      </c>
      <c r="AA7">
        <v>7.65934723067181</v>
      </c>
      <c r="AB7">
        <v>283.245657336524</v>
      </c>
      <c r="AC7">
        <v>320.32884603169902</v>
      </c>
      <c r="AD7">
        <v>10.634585088286199</v>
      </c>
      <c r="AE7">
        <v>326.64866998045397</v>
      </c>
      <c r="AF7">
        <v>369.68548794887698</v>
      </c>
      <c r="AG7">
        <v>11.4612390255155</v>
      </c>
      <c r="AH7">
        <v>361.76012826180801</v>
      </c>
      <c r="AI7">
        <v>398.00445022637598</v>
      </c>
      <c r="AJ7">
        <v>9.5946651843615598</v>
      </c>
      <c r="AK7">
        <v>558.84455942596401</v>
      </c>
      <c r="AL7">
        <v>460.69395307513997</v>
      </c>
      <c r="AM7">
        <v>12.700614158378301</v>
      </c>
    </row>
    <row r="8" spans="1:39" x14ac:dyDescent="0.25">
      <c r="A8" t="s">
        <v>41</v>
      </c>
      <c r="B8">
        <v>2018</v>
      </c>
      <c r="C8">
        <v>1</v>
      </c>
      <c r="D8">
        <f>(LCS_Top_Aggregate_ByYear!D2-LCS_Top_Aggregate_ByYear!D4)/LCS_Top_Aggregate_ByYear!D6</f>
        <v>-1.125227151517225</v>
      </c>
      <c r="E8">
        <f>(LCS_Top_Aggregate_ByYear!E2-LCS_Top_Aggregate_ByYear!E4)/LCS_Top_Aggregate_ByYear!E6</f>
        <v>-0.48231284301034327</v>
      </c>
      <c r="F8">
        <f>(LCS_Top_Aggregate_ByYear!F2-LCS_Top_Aggregate_ByYear!F4)/LCS_Top_Aggregate_ByYear!F6</f>
        <v>-0.91790894632309994</v>
      </c>
      <c r="G8">
        <f>(LCS_Top_Aggregate_ByYear!G2-LCS_Top_Aggregate_ByYear!G4)/LCS_Top_Aggregate_ByYear!G6</f>
        <v>-0.99844515689585567</v>
      </c>
      <c r="H8">
        <f>(LCS_Top_Aggregate_ByYear!H2-LCS_Top_Aggregate_ByYear!H4)/LCS_Top_Aggregate_ByYear!H6</f>
        <v>-0.92782480877762696</v>
      </c>
      <c r="I8">
        <f>(I2-I4)/I6</f>
        <v>-0.92782480877762696</v>
      </c>
      <c r="J8">
        <f>(LCS_Top_Aggregate_ByYear!J2-LCS_Top_Aggregate_ByYear!J4)/LCS_Top_Aggregate_ByYear!J6</f>
        <v>-0.57579338597399532</v>
      </c>
      <c r="K8">
        <f>(LCS_Top_Aggregate_ByYear!K2-LCS_Top_Aggregate_ByYear!K4)/LCS_Top_Aggregate_ByYear!K6</f>
        <v>-0.91080287927525061</v>
      </c>
      <c r="L8">
        <f>(LCS_Top_Aggregate_ByYear!L2-LCS_Top_Aggregate_ByYear!L4)/LCS_Top_Aggregate_ByYear!L6</f>
        <v>-0.81102504073365167</v>
      </c>
      <c r="M8">
        <f>(LCS_Top_Aggregate_ByYear!M2-LCS_Top_Aggregate_ByYear!M4)/LCS_Top_Aggregate_ByYear!M6</f>
        <v>-2.160976285033148</v>
      </c>
      <c r="N8">
        <f>(LCS_Top_Aggregate_ByYear!N2-LCS_Top_Aggregate_ByYear!N4)/LCS_Top_Aggregate_ByYear!N6</f>
        <v>0.2809555509104768</v>
      </c>
      <c r="O8">
        <f>(LCS_Top_Aggregate_ByYear!O2-LCS_Top_Aggregate_ByYear!O4)/LCS_Top_Aggregate_ByYear!O6</f>
        <v>-1.2517793350321487</v>
      </c>
      <c r="P8">
        <f>(LCS_Top_Aggregate_ByYear!P2-LCS_Top_Aggregate_ByYear!P4)/LCS_Top_Aggregate_ByYear!P6</f>
        <v>-0.55852319578829257</v>
      </c>
      <c r="Q8">
        <f>(LCS_Top_Aggregate_ByYear!Q2-LCS_Top_Aggregate_ByYear!Q4)/LCS_Top_Aggregate_ByYear!Q6</f>
        <v>-0.30564523468798194</v>
      </c>
      <c r="R8">
        <f>(LCS_Top_Aggregate_ByYear!R2-LCS_Top_Aggregate_ByYear!R4)/LCS_Top_Aggregate_ByYear!R6</f>
        <v>-0.68185197367393169</v>
      </c>
      <c r="S8">
        <f>(LCS_Top_Aggregate_ByYear!S2-LCS_Top_Aggregate_ByYear!S4)/LCS_Top_Aggregate_ByYear!S6</f>
        <v>-1.1938777459651937</v>
      </c>
      <c r="T8">
        <f>(LCS_Top_Aggregate_ByYear!T2-LCS_Top_Aggregate_ByYear!T4)/LCS_Top_Aggregate_ByYear!T6</f>
        <v>0.20739447989363805</v>
      </c>
      <c r="U8">
        <f>(LCS_Top_Aggregate_ByYear!U2-LCS_Top_Aggregate_ByYear!U4)/LCS_Top_Aggregate_ByYear!U6</f>
        <v>-1.0939072847959612</v>
      </c>
      <c r="V8">
        <f>(LCS_Top_Aggregate_ByYear!V2-LCS_Top_Aggregate_ByYear!V4)/LCS_Top_Aggregate_ByYear!V6</f>
        <v>0.15762037542734858</v>
      </c>
      <c r="W8">
        <f>(LCS_Top_Aggregate_ByYear!W2-LCS_Top_Aggregate_ByYear!W4)/LCS_Top_Aggregate_ByYear!W6</f>
        <v>0.36705079265435708</v>
      </c>
      <c r="X8">
        <f>(LCS_Top_Aggregate_ByYear!X2-LCS_Top_Aggregate_ByYear!X4)/LCS_Top_Aggregate_ByYear!X6</f>
        <v>0.71247630080431568</v>
      </c>
      <c r="Y8">
        <f>(LCS_Top_Aggregate_ByYear!Y2-LCS_Top_Aggregate_ByYear!Y4)/LCS_Top_Aggregate_ByYear!Y6</f>
        <v>-4.4748587062507852E-3</v>
      </c>
      <c r="Z8">
        <f>(LCS_Top_Aggregate_ByYear!Z2-LCS_Top_Aggregate_ByYear!Z4)/LCS_Top_Aggregate_ByYear!Z6</f>
        <v>0.48545968252167421</v>
      </c>
      <c r="AA8">
        <f>(LCS_Top_Aggregate_ByYear!AA2-LCS_Top_Aggregate_ByYear!AA4)/LCS_Top_Aggregate_ByYear!AA6</f>
        <v>1.053883107354908</v>
      </c>
      <c r="AB8">
        <f>(LCS_Top_Aggregate_ByYear!AB2-LCS_Top_Aggregate_ByYear!AB4)/LCS_Top_Aggregate_ByYear!AB6</f>
        <v>9.3665186675028503E-2</v>
      </c>
      <c r="AC8">
        <f>(LCS_Top_Aggregate_ByYear!AC2-LCS_Top_Aggregate_ByYear!AC4)/LCS_Top_Aggregate_ByYear!AC6</f>
        <v>-2.4381985190578267E-2</v>
      </c>
      <c r="AD8">
        <f>(LCS_Top_Aggregate_ByYear!AD2-LCS_Top_Aggregate_ByYear!AD4)/LCS_Top_Aggregate_ByYear!AD6</f>
        <v>8.072604496858525E-2</v>
      </c>
      <c r="AE8">
        <f>(LCS_Top_Aggregate_ByYear!AE2-LCS_Top_Aggregate_ByYear!AE4)/LCS_Top_Aggregate_ByYear!AE6</f>
        <v>-0.21902810199752151</v>
      </c>
      <c r="AF8">
        <f>(LCS_Top_Aggregate_ByYear!AF2-LCS_Top_Aggregate_ByYear!AF4)/LCS_Top_Aggregate_ByYear!AF6</f>
        <v>0.17613201732514464</v>
      </c>
      <c r="AG8">
        <f>(LCS_Top_Aggregate_ByYear!AG2-LCS_Top_Aggregate_ByYear!AG4)/LCS_Top_Aggregate_ByYear!AG6</f>
        <v>0.62105021905006152</v>
      </c>
      <c r="AH8">
        <f>(LCS_Top_Aggregate_ByYear!AH2-LCS_Top_Aggregate_ByYear!AH4)/LCS_Top_Aggregate_ByYear!AH6</f>
        <v>8.449571616961736E-2</v>
      </c>
      <c r="AI8">
        <f>(LCS_Top_Aggregate_ByYear!AI2-LCS_Top_Aggregate_ByYear!AI4)/LCS_Top_Aggregate_ByYear!AI6</f>
        <v>0.39973041856907821</v>
      </c>
      <c r="AJ8">
        <f>(LCS_Top_Aggregate_ByYear!AJ2-LCS_Top_Aggregate_ByYear!AJ4)/LCS_Top_Aggregate_ByYear!AJ6</f>
        <v>0.90995533977514131</v>
      </c>
      <c r="AK8">
        <f>(LCS_Top_Aggregate_ByYear!AK2-LCS_Top_Aggregate_ByYear!AK4)/LCS_Top_Aggregate_ByYear!AK6</f>
        <v>-0.17493368630138842</v>
      </c>
      <c r="AL8">
        <f>(LCS_Top_Aggregate_ByYear!AL2-LCS_Top_Aggregate_ByYear!AL4)/LCS_Top_Aggregate_ByYear!AL6</f>
        <v>-0.12287301787835347</v>
      </c>
      <c r="AM8">
        <f>(LCS_Top_Aggregate_ByYear!AM2-LCS_Top_Aggregate_ByYear!AM4)/LCS_Top_Aggregate_ByYear!AM6</f>
        <v>5.2207768271317796E-3</v>
      </c>
    </row>
    <row r="9" spans="1:39" x14ac:dyDescent="0.25">
      <c r="A9" t="s">
        <v>41</v>
      </c>
      <c r="B9">
        <v>2018</v>
      </c>
      <c r="C9">
        <v>0</v>
      </c>
      <c r="D9">
        <f>(LCS_Top_Aggregate_ByYear!D3-LCS_Top_Aggregate_ByYear!D5)/LCS_Top_Aggregate_ByYear!D7</f>
        <v>-0.35355339059327556</v>
      </c>
      <c r="E9">
        <f>(LCS_Top_Aggregate_ByYear!E3-LCS_Top_Aggregate_ByYear!E5)/LCS_Top_Aggregate_ByYear!E7</f>
        <v>0.26699722797668873</v>
      </c>
      <c r="F9">
        <f>(LCS_Top_Aggregate_ByYear!F3-LCS_Top_Aggregate_ByYear!F5)/LCS_Top_Aggregate_ByYear!F7</f>
        <v>-0.39728859128769217</v>
      </c>
      <c r="G9">
        <f>(LCS_Top_Aggregate_ByYear!G3-LCS_Top_Aggregate_ByYear!G5)/LCS_Top_Aggregate_ByYear!G7</f>
        <v>-0.38497099070143664</v>
      </c>
      <c r="H9">
        <f>(LCS_Top_Aggregate_ByYear!H3-LCS_Top_Aggregate_ByYear!H5)/LCS_Top_Aggregate_ByYear!H7</f>
        <v>8.0738432338433155E-2</v>
      </c>
      <c r="I9">
        <f>(I3-I5)/I7</f>
        <v>8.0738432338433155E-2</v>
      </c>
      <c r="J9">
        <f>(LCS_Top_Aggregate_ByYear!J3-LCS_Top_Aggregate_ByYear!J5)/LCS_Top_Aggregate_ByYear!J7</f>
        <v>1.6856526355655228E-2</v>
      </c>
      <c r="K9">
        <f>(LCS_Top_Aggregate_ByYear!K3-LCS_Top_Aggregate_ByYear!K5)/LCS_Top_Aggregate_ByYear!K7</f>
        <v>0.25106441745779284</v>
      </c>
      <c r="L9">
        <f>(LCS_Top_Aggregate_ByYear!L3-LCS_Top_Aggregate_ByYear!L5)/LCS_Top_Aggregate_ByYear!L7</f>
        <v>0.21461928043893827</v>
      </c>
      <c r="M9">
        <f>(LCS_Top_Aggregate_ByYear!M3-LCS_Top_Aggregate_ByYear!M5)/LCS_Top_Aggregate_ByYear!M7</f>
        <v>-0.1299977722354608</v>
      </c>
      <c r="N9">
        <f>(LCS_Top_Aggregate_ByYear!N3-LCS_Top_Aggregate_ByYear!N5)/LCS_Top_Aggregate_ByYear!N7</f>
        <v>6.7211027172248597E-2</v>
      </c>
      <c r="O9">
        <f>(LCS_Top_Aggregate_ByYear!O3-LCS_Top_Aggregate_ByYear!O5)/LCS_Top_Aggregate_ByYear!O7</f>
        <v>0.11685532508896128</v>
      </c>
      <c r="P9">
        <f>(LCS_Top_Aggregate_ByYear!P3-LCS_Top_Aggregate_ByYear!P5)/LCS_Top_Aggregate_ByYear!P7</f>
        <v>0.44428237762990347</v>
      </c>
      <c r="Q9">
        <f>(LCS_Top_Aggregate_ByYear!Q3-LCS_Top_Aggregate_ByYear!Q5)/LCS_Top_Aggregate_ByYear!Q7</f>
        <v>0.23049010190893193</v>
      </c>
      <c r="R9">
        <f>(LCS_Top_Aggregate_ByYear!R3-LCS_Top_Aggregate_ByYear!R5)/LCS_Top_Aggregate_ByYear!R7</f>
        <v>-0.28741484327547312</v>
      </c>
      <c r="S9">
        <f>(LCS_Top_Aggregate_ByYear!S3-LCS_Top_Aggregate_ByYear!S5)/LCS_Top_Aggregate_ByYear!S7</f>
        <v>-0.11498972441378912</v>
      </c>
      <c r="T9">
        <f>(LCS_Top_Aggregate_ByYear!T3-LCS_Top_Aggregate_ByYear!T5)/LCS_Top_Aggregate_ByYear!T7</f>
        <v>0.36152840680403248</v>
      </c>
      <c r="U9">
        <f>(LCS_Top_Aggregate_ByYear!U3-LCS_Top_Aggregate_ByYear!U5)/LCS_Top_Aggregate_ByYear!U7</f>
        <v>-4.6562577453340137E-2</v>
      </c>
      <c r="V9">
        <f>(LCS_Top_Aggregate_ByYear!V3-LCS_Top_Aggregate_ByYear!V5)/LCS_Top_Aggregate_ByYear!V7</f>
        <v>0.41349429056723858</v>
      </c>
      <c r="W9">
        <f>(LCS_Top_Aggregate_ByYear!W3-LCS_Top_Aggregate_ByYear!W5)/LCS_Top_Aggregate_ByYear!W7</f>
        <v>-0.13670127611916388</v>
      </c>
      <c r="X9">
        <f>(LCS_Top_Aggregate_ByYear!X3-LCS_Top_Aggregate_ByYear!X5)/LCS_Top_Aggregate_ByYear!X7</f>
        <v>0.25838190375081876</v>
      </c>
      <c r="Y9">
        <f>(LCS_Top_Aggregate_ByYear!Y3-LCS_Top_Aggregate_ByYear!Y5)/LCS_Top_Aggregate_ByYear!Y7</f>
        <v>1.1063431812786735</v>
      </c>
      <c r="Z9">
        <f>(LCS_Top_Aggregate_ByYear!Z3-LCS_Top_Aggregate_ByYear!Z5)/LCS_Top_Aggregate_ByYear!Z7</f>
        <v>0.37608215809050899</v>
      </c>
      <c r="AA9">
        <f>(LCS_Top_Aggregate_ByYear!AA3-LCS_Top_Aggregate_ByYear!AA5)/LCS_Top_Aggregate_ByYear!AA7</f>
        <v>-2.6111885775226837E-3</v>
      </c>
      <c r="AB9">
        <f>(LCS_Top_Aggregate_ByYear!AB3-LCS_Top_Aggregate_ByYear!AB5)/LCS_Top_Aggregate_ByYear!AB7</f>
        <v>-0.59220678465939625</v>
      </c>
      <c r="AC9">
        <f>(LCS_Top_Aggregate_ByYear!AC3-LCS_Top_Aggregate_ByYear!AC5)/LCS_Top_Aggregate_ByYear!AC7</f>
        <v>-0.46208763848058904</v>
      </c>
      <c r="AD9">
        <f>(LCS_Top_Aggregate_ByYear!AD3-LCS_Top_Aggregate_ByYear!AD5)/LCS_Top_Aggregate_ByYear!AD7</f>
        <v>0.22944007497646668</v>
      </c>
      <c r="AE9">
        <f>(LCS_Top_Aggregate_ByYear!AE3-LCS_Top_Aggregate_ByYear!AE5)/LCS_Top_Aggregate_ByYear!AE7</f>
        <v>-0.19109216028259096</v>
      </c>
      <c r="AF9">
        <f>(LCS_Top_Aggregate_ByYear!AF3-LCS_Top_Aggregate_ByYear!AF5)/LCS_Top_Aggregate_ByYear!AF7</f>
        <v>-0.10414257863788282</v>
      </c>
      <c r="AG9">
        <f>(LCS_Top_Aggregate_ByYear!AG3-LCS_Top_Aggregate_ByYear!AG5)/LCS_Top_Aggregate_ByYear!AG7</f>
        <v>0.33155228606089399</v>
      </c>
      <c r="AH9">
        <f>(LCS_Top_Aggregate_ByYear!AH3-LCS_Top_Aggregate_ByYear!AH5)/LCS_Top_Aggregate_ByYear!AH7</f>
        <v>0.8977219285066389</v>
      </c>
      <c r="AI9">
        <f>(LCS_Top_Aggregate_ByYear!AI3-LCS_Top_Aggregate_ByYear!AI5)/LCS_Top_Aggregate_ByYear!AI7</f>
        <v>0.42572388299584574</v>
      </c>
      <c r="AJ9">
        <f>(LCS_Top_Aggregate_ByYear!AJ3-LCS_Top_Aggregate_ByYear!AJ5)/LCS_Top_Aggregate_ByYear!AJ7</f>
        <v>0.10630907701318124</v>
      </c>
      <c r="AK9">
        <f>(LCS_Top_Aggregate_ByYear!AK3-LCS_Top_Aggregate_ByYear!AK5)/LCS_Top_Aggregate_ByYear!AK7</f>
        <v>-0.69282234830684386</v>
      </c>
      <c r="AL9">
        <f>(LCS_Top_Aggregate_ByYear!AL3-LCS_Top_Aggregate_ByYear!AL5)/LCS_Top_Aggregate_ByYear!AL7</f>
        <v>-0.45136255557946214</v>
      </c>
      <c r="AM9">
        <f>(LCS_Top_Aggregate_ByYear!AM3-LCS_Top_Aggregate_ByYear!AM5)/LCS_Top_Aggregate_ByYear!AM7</f>
        <v>0.21888705265218206</v>
      </c>
    </row>
    <row r="10" spans="1:39" x14ac:dyDescent="0.25">
      <c r="A10" t="s">
        <v>37</v>
      </c>
      <c r="B10">
        <v>2019</v>
      </c>
      <c r="C10">
        <v>0</v>
      </c>
      <c r="D10">
        <v>1</v>
      </c>
      <c r="E10">
        <v>3</v>
      </c>
      <c r="F10">
        <v>2</v>
      </c>
      <c r="G10" s="1">
        <v>1.20835</v>
      </c>
      <c r="H10">
        <v>17.5</v>
      </c>
      <c r="I10" s="2">
        <v>17.5</v>
      </c>
      <c r="J10" s="1">
        <v>0.25383299589157099</v>
      </c>
      <c r="K10">
        <v>0.26339500024914703</v>
      </c>
      <c r="L10" s="1">
        <v>1.05350379445623</v>
      </c>
      <c r="M10" s="1">
        <v>53.951247422938202</v>
      </c>
      <c r="N10">
        <v>302</v>
      </c>
      <c r="O10">
        <v>12412</v>
      </c>
      <c r="P10">
        <v>19571</v>
      </c>
      <c r="Q10">
        <v>1.608975</v>
      </c>
      <c r="R10">
        <v>6291.75</v>
      </c>
      <c r="S10">
        <v>344.55829238891602</v>
      </c>
      <c r="T10">
        <v>1967.5</v>
      </c>
      <c r="U10">
        <v>12.0142366204013</v>
      </c>
      <c r="V10">
        <v>3183.25</v>
      </c>
      <c r="W10">
        <v>4584.5</v>
      </c>
      <c r="X10">
        <v>82.75</v>
      </c>
      <c r="Y10">
        <v>3253.5</v>
      </c>
      <c r="Z10">
        <v>4595</v>
      </c>
      <c r="AA10">
        <v>76.25</v>
      </c>
      <c r="AB10">
        <v>-70.25</v>
      </c>
      <c r="AC10">
        <v>-10.5</v>
      </c>
      <c r="AD10">
        <v>6.5</v>
      </c>
      <c r="AE10">
        <v>5243.75</v>
      </c>
      <c r="AF10">
        <v>7226.5</v>
      </c>
      <c r="AG10">
        <v>135.75</v>
      </c>
      <c r="AH10">
        <v>5135.75</v>
      </c>
      <c r="AI10">
        <v>7464</v>
      </c>
      <c r="AJ10">
        <v>128.75</v>
      </c>
      <c r="AK10">
        <v>108</v>
      </c>
      <c r="AL10">
        <v>-237.5</v>
      </c>
      <c r="AM10">
        <v>7</v>
      </c>
    </row>
    <row r="11" spans="1:39" x14ac:dyDescent="0.25">
      <c r="A11" t="s">
        <v>37</v>
      </c>
      <c r="B11">
        <v>2019</v>
      </c>
      <c r="C11">
        <v>1</v>
      </c>
      <c r="D11">
        <v>2.5</v>
      </c>
      <c r="E11">
        <v>3</v>
      </c>
      <c r="F11">
        <v>5</v>
      </c>
      <c r="G11" s="1">
        <v>4.7</v>
      </c>
      <c r="H11">
        <v>21.590900000000001</v>
      </c>
      <c r="I11" s="2">
        <v>21.590900000000001</v>
      </c>
      <c r="J11" s="1">
        <v>0.194611996412277</v>
      </c>
      <c r="K11">
        <v>0.19557200372219</v>
      </c>
      <c r="L11" s="1">
        <v>1.00478425182483</v>
      </c>
      <c r="M11" s="1">
        <v>65.189612936703298</v>
      </c>
      <c r="N11">
        <v>277.5</v>
      </c>
      <c r="O11">
        <v>12779</v>
      </c>
      <c r="P11">
        <v>17178</v>
      </c>
      <c r="Q11">
        <v>1.3366</v>
      </c>
      <c r="R11">
        <v>13420</v>
      </c>
      <c r="S11">
        <v>405.11024475097599</v>
      </c>
      <c r="T11">
        <v>2060</v>
      </c>
      <c r="U11">
        <v>12.0402051705452</v>
      </c>
      <c r="V11">
        <v>3455.5</v>
      </c>
      <c r="W11">
        <v>4990</v>
      </c>
      <c r="X11">
        <v>95</v>
      </c>
      <c r="Y11">
        <v>3336.5</v>
      </c>
      <c r="Z11">
        <v>4805</v>
      </c>
      <c r="AA11">
        <v>83</v>
      </c>
      <c r="AB11">
        <v>119</v>
      </c>
      <c r="AC11">
        <v>185</v>
      </c>
      <c r="AD11">
        <v>12</v>
      </c>
      <c r="AE11">
        <v>5271</v>
      </c>
      <c r="AF11">
        <v>7471.5</v>
      </c>
      <c r="AG11">
        <v>142</v>
      </c>
      <c r="AH11">
        <v>5331</v>
      </c>
      <c r="AI11">
        <v>7769.5</v>
      </c>
      <c r="AJ11">
        <v>134.5</v>
      </c>
      <c r="AK11">
        <v>-60</v>
      </c>
      <c r="AL11">
        <v>-298</v>
      </c>
      <c r="AM11">
        <v>7.5</v>
      </c>
    </row>
    <row r="12" spans="1:39" x14ac:dyDescent="0.25">
      <c r="A12" t="s">
        <v>38</v>
      </c>
      <c r="B12">
        <v>2019</v>
      </c>
      <c r="C12">
        <v>0</v>
      </c>
      <c r="D12">
        <v>1.3529</v>
      </c>
      <c r="E12">
        <v>2.7646999999999999</v>
      </c>
      <c r="F12">
        <v>2.1764999999999999</v>
      </c>
      <c r="G12" s="1">
        <v>1.4729125000000001</v>
      </c>
      <c r="H12">
        <v>18.860435290000002</v>
      </c>
      <c r="I12" s="2">
        <v>18.860435290000002</v>
      </c>
      <c r="J12" s="1">
        <v>0.22727140959571299</v>
      </c>
      <c r="K12">
        <v>0.23041317568105801</v>
      </c>
      <c r="L12" s="1">
        <v>1.0109560211792299</v>
      </c>
      <c r="M12" s="1">
        <v>61.555689093574401</v>
      </c>
      <c r="N12">
        <v>274.47059999999999</v>
      </c>
      <c r="O12">
        <v>12534.5625</v>
      </c>
      <c r="P12">
        <v>23211.25</v>
      </c>
      <c r="Q12">
        <v>1.8592124999999999</v>
      </c>
      <c r="R12">
        <v>5742.0625</v>
      </c>
      <c r="S12">
        <v>351.71413825539901</v>
      </c>
      <c r="T12">
        <v>2101.0587999999998</v>
      </c>
      <c r="U12">
        <v>10.2141432501754</v>
      </c>
      <c r="V12">
        <v>3197.8235</v>
      </c>
      <c r="W12">
        <v>4580.5294000000004</v>
      </c>
      <c r="X12">
        <v>76.882400000000004</v>
      </c>
      <c r="Y12">
        <v>3163.1765</v>
      </c>
      <c r="Z12">
        <v>4558.8824000000004</v>
      </c>
      <c r="AA12">
        <v>78.823499999999996</v>
      </c>
      <c r="AB12">
        <v>34.647100000000002</v>
      </c>
      <c r="AC12">
        <v>21.647099999999998</v>
      </c>
      <c r="AD12">
        <v>-1.9412</v>
      </c>
      <c r="AE12">
        <v>5057.8824000000004</v>
      </c>
      <c r="AF12">
        <v>7158.5882000000001</v>
      </c>
      <c r="AG12">
        <v>123</v>
      </c>
      <c r="AH12">
        <v>5182.5882000000001</v>
      </c>
      <c r="AI12">
        <v>7362.5294000000004</v>
      </c>
      <c r="AJ12">
        <v>128.11760000000001</v>
      </c>
      <c r="AK12">
        <v>-124.7059</v>
      </c>
      <c r="AL12">
        <v>-203.94120000000001</v>
      </c>
      <c r="AM12">
        <v>-5.1176000000000004</v>
      </c>
    </row>
    <row r="13" spans="1:39" x14ac:dyDescent="0.25">
      <c r="A13" t="s">
        <v>38</v>
      </c>
      <c r="B13">
        <v>2019</v>
      </c>
      <c r="C13">
        <v>1</v>
      </c>
      <c r="D13">
        <v>2.6842000000000001</v>
      </c>
      <c r="E13">
        <v>1.3158000000000001</v>
      </c>
      <c r="F13">
        <v>4.1578999999999997</v>
      </c>
      <c r="G13" s="1">
        <v>3.2916666700000001</v>
      </c>
      <c r="H13">
        <v>20.952915789999999</v>
      </c>
      <c r="I13" s="2">
        <v>20.952915789999999</v>
      </c>
      <c r="J13" s="1">
        <v>0.23548779048417701</v>
      </c>
      <c r="K13">
        <v>0.225849317092644</v>
      </c>
      <c r="L13" s="1">
        <v>0.953725615161786</v>
      </c>
      <c r="M13" s="1">
        <v>62.096601179447298</v>
      </c>
      <c r="N13">
        <v>313.57889999999998</v>
      </c>
      <c r="O13">
        <v>14886.1111</v>
      </c>
      <c r="P13">
        <v>21577.5</v>
      </c>
      <c r="Q13">
        <v>1.4394666700000001</v>
      </c>
      <c r="R13">
        <v>16224.2778</v>
      </c>
      <c r="S13">
        <v>426.142845555355</v>
      </c>
      <c r="T13">
        <v>2139.1053000000002</v>
      </c>
      <c r="U13">
        <v>12.2523468919512</v>
      </c>
      <c r="V13">
        <v>3212.1053000000002</v>
      </c>
      <c r="W13">
        <v>4626.5789000000004</v>
      </c>
      <c r="X13">
        <v>80.684200000000004</v>
      </c>
      <c r="Y13">
        <v>3176.3157999999999</v>
      </c>
      <c r="Z13">
        <v>4595.9474</v>
      </c>
      <c r="AA13">
        <v>77.8947</v>
      </c>
      <c r="AB13">
        <v>35.789499999999997</v>
      </c>
      <c r="AC13">
        <v>30.631599999999999</v>
      </c>
      <c r="AD13">
        <v>2.7894999999999999</v>
      </c>
      <c r="AE13">
        <v>5166.1053000000002</v>
      </c>
      <c r="AF13">
        <v>7419.5263000000004</v>
      </c>
      <c r="AG13">
        <v>130.05260000000001</v>
      </c>
      <c r="AH13">
        <v>5035.4736999999996</v>
      </c>
      <c r="AI13">
        <v>7166.2632000000003</v>
      </c>
      <c r="AJ13">
        <v>123.8421</v>
      </c>
      <c r="AK13">
        <v>130.63159999999999</v>
      </c>
      <c r="AL13">
        <v>253.26320000000001</v>
      </c>
      <c r="AM13">
        <v>6.2104999999999997</v>
      </c>
    </row>
    <row r="14" spans="1:39" x14ac:dyDescent="0.25">
      <c r="A14" t="s">
        <v>39</v>
      </c>
      <c r="B14">
        <v>2019</v>
      </c>
      <c r="C14">
        <v>0</v>
      </c>
      <c r="D14">
        <v>1.6066470922056</v>
      </c>
      <c r="E14">
        <v>1.4764588703542501</v>
      </c>
      <c r="F14">
        <v>2.1209125149788099</v>
      </c>
      <c r="G14" s="1">
        <v>1.2410355638795301</v>
      </c>
      <c r="H14">
        <v>25.932069147259899</v>
      </c>
      <c r="I14" s="2">
        <v>25.932069147259899</v>
      </c>
      <c r="J14" s="1">
        <v>3.31065156506858E-2</v>
      </c>
      <c r="K14">
        <v>6.9599748794559393E-2</v>
      </c>
      <c r="L14" s="1">
        <v>0.24105769855461001</v>
      </c>
      <c r="M14" s="1">
        <v>20.633900141513401</v>
      </c>
      <c r="N14">
        <v>46.0091009501621</v>
      </c>
      <c r="O14">
        <v>1842.0167266053099</v>
      </c>
      <c r="P14">
        <v>9752.9582210988592</v>
      </c>
      <c r="Q14">
        <v>0.75506540494516095</v>
      </c>
      <c r="R14">
        <v>4167.63376313151</v>
      </c>
      <c r="S14">
        <v>130.109823605862</v>
      </c>
      <c r="T14">
        <v>349.87434224778701</v>
      </c>
      <c r="U14">
        <v>3.91053828502403</v>
      </c>
      <c r="V14">
        <v>244.24270361649701</v>
      </c>
      <c r="W14">
        <v>274.46206587711902</v>
      </c>
      <c r="X14">
        <v>8.3164072626216097</v>
      </c>
      <c r="Y14">
        <v>220.12836770824401</v>
      </c>
      <c r="Z14">
        <v>231.31360997392599</v>
      </c>
      <c r="AA14">
        <v>9.3571947412461896</v>
      </c>
      <c r="AB14">
        <v>401.69331895284103</v>
      </c>
      <c r="AC14">
        <v>416.12709330860298</v>
      </c>
      <c r="AD14">
        <v>14.734795107201499</v>
      </c>
      <c r="AE14">
        <v>587.15734762076499</v>
      </c>
      <c r="AF14">
        <v>427.922073557864</v>
      </c>
      <c r="AG14">
        <v>11.381098882124901</v>
      </c>
      <c r="AH14">
        <v>593.484729851976</v>
      </c>
      <c r="AI14">
        <v>459.121554793634</v>
      </c>
      <c r="AJ14">
        <v>13.100886152969901</v>
      </c>
      <c r="AK14">
        <v>997.77439184628304</v>
      </c>
      <c r="AL14">
        <v>745.91337382143399</v>
      </c>
      <c r="AM14">
        <v>21.8521296658759</v>
      </c>
    </row>
    <row r="15" spans="1:39" x14ac:dyDescent="0.25">
      <c r="A15" t="s">
        <v>39</v>
      </c>
      <c r="B15">
        <v>2019</v>
      </c>
      <c r="C15">
        <v>1</v>
      </c>
      <c r="D15">
        <v>1.9208723779889101</v>
      </c>
      <c r="E15">
        <v>1.2587642887475099</v>
      </c>
      <c r="F15">
        <v>2.3678361850951499</v>
      </c>
      <c r="G15" s="1">
        <v>1.6317523527814699</v>
      </c>
      <c r="H15">
        <v>14.3646162628452</v>
      </c>
      <c r="I15" s="2">
        <v>14.3646162628452</v>
      </c>
      <c r="J15" s="1">
        <v>3.5236981962130598E-2</v>
      </c>
      <c r="K15">
        <v>6.8832750516637897E-2</v>
      </c>
      <c r="L15" s="1">
        <v>0.25770698906808398</v>
      </c>
      <c r="M15" s="1">
        <v>18.938812495705001</v>
      </c>
      <c r="N15">
        <v>62.431702295576898</v>
      </c>
      <c r="O15">
        <v>2811.7203687597998</v>
      </c>
      <c r="P15">
        <v>7473.0557653628002</v>
      </c>
      <c r="Q15">
        <v>0.40160108772925501</v>
      </c>
      <c r="R15">
        <v>10089.654882356501</v>
      </c>
      <c r="S15">
        <v>157.96172435609699</v>
      </c>
      <c r="T15">
        <v>322.26972925385297</v>
      </c>
      <c r="U15">
        <v>5.4121897462212303</v>
      </c>
      <c r="V15">
        <v>212.85500247248601</v>
      </c>
      <c r="W15">
        <v>256.00458790902701</v>
      </c>
      <c r="X15">
        <v>9.1424552246443103</v>
      </c>
      <c r="Y15">
        <v>220.84980669928899</v>
      </c>
      <c r="Z15">
        <v>267.35851618619699</v>
      </c>
      <c r="AA15">
        <v>7.6495251785364902</v>
      </c>
      <c r="AB15">
        <v>361.27691361371097</v>
      </c>
      <c r="AC15">
        <v>441.82947538451901</v>
      </c>
      <c r="AD15">
        <v>14.214814167911401</v>
      </c>
      <c r="AE15">
        <v>568.28355549495097</v>
      </c>
      <c r="AF15">
        <v>415.76832724373998</v>
      </c>
      <c r="AG15">
        <v>11.829818187020001</v>
      </c>
      <c r="AH15">
        <v>561.37372563542203</v>
      </c>
      <c r="AI15">
        <v>419.89871486814798</v>
      </c>
      <c r="AJ15">
        <v>10.8252295849957</v>
      </c>
      <c r="AK15">
        <v>946.38860442300199</v>
      </c>
      <c r="AL15">
        <v>736.106316842404</v>
      </c>
      <c r="AM15">
        <v>20.748060016778201</v>
      </c>
    </row>
    <row r="16" spans="1:39" x14ac:dyDescent="0.25">
      <c r="A16" t="s">
        <v>41</v>
      </c>
      <c r="B16">
        <v>2019</v>
      </c>
      <c r="C16">
        <v>1</v>
      </c>
      <c r="D16">
        <f>(LCS_Top_Aggregate_ByYear!D9-LCS_Top_Aggregate_ByYear!D11)/LCS_Top_Aggregate_ByYear!D13</f>
        <v>-9.589392929521505E-2</v>
      </c>
      <c r="E16">
        <f>(LCS_Top_Aggregate_ByYear!E9-LCS_Top_Aggregate_ByYear!E11)/LCS_Top_Aggregate_ByYear!E13</f>
        <v>1.3379788535912511</v>
      </c>
      <c r="F16">
        <f>(LCS_Top_Aggregate_ByYear!F9-LCS_Top_Aggregate_ByYear!F11)/LCS_Top_Aggregate_ByYear!F13</f>
        <v>0.35564115680838837</v>
      </c>
      <c r="G16">
        <f>(LCS_Top_Aggregate_ByYear!G9-LCS_Top_Aggregate_ByYear!G11)/LCS_Top_Aggregate_ByYear!G13</f>
        <v>0.86308031215604997</v>
      </c>
      <c r="H16">
        <f>(LCS_Top_Aggregate_ByYear!H9-LCS_Top_Aggregate_ByYear!H11)/LCS_Top_Aggregate_ByYear!H13</f>
        <v>4.4413592283017035E-2</v>
      </c>
      <c r="I16">
        <f>(I11-I13)/I15</f>
        <v>4.4413592283017035E-2</v>
      </c>
      <c r="J16">
        <f>(LCS_Top_Aggregate_ByYear!J9-LCS_Top_Aggregate_ByYear!J11)/LCS_Top_Aggregate_ByYear!J13</f>
        <v>-1.160025399332709</v>
      </c>
      <c r="K16">
        <f>(LCS_Top_Aggregate_ByYear!K9-LCS_Top_Aggregate_ByYear!K11)/LCS_Top_Aggregate_ByYear!K13</f>
        <v>-0.43986784115412508</v>
      </c>
      <c r="L16">
        <f>(LCS_Top_Aggregate_ByYear!L9-LCS_Top_Aggregate_ByYear!L11)/LCS_Top_Aggregate_ByYear!L13</f>
        <v>0.19812670524645626</v>
      </c>
      <c r="M16">
        <f>(LCS_Top_Aggregate_ByYear!M9-LCS_Top_Aggregate_ByYear!M11)/LCS_Top_Aggregate_ByYear!M13</f>
        <v>0.1633160346224159</v>
      </c>
      <c r="N16">
        <f>(LCS_Top_Aggregate_ByYear!N9-LCS_Top_Aggregate_ByYear!N11)/LCS_Top_Aggregate_ByYear!N13</f>
        <v>-0.57789390122966522</v>
      </c>
      <c r="O16">
        <f>(LCS_Top_Aggregate_ByYear!O9-LCS_Top_Aggregate_ByYear!O11)/LCS_Top_Aggregate_ByYear!O13</f>
        <v>-0.74940279389497377</v>
      </c>
      <c r="P16">
        <f>(LCS_Top_Aggregate_ByYear!P9-LCS_Top_Aggregate_ByYear!P11)/LCS_Top_Aggregate_ByYear!P13</f>
        <v>-0.58871499666728555</v>
      </c>
      <c r="Q16">
        <f>(LCS_Top_Aggregate_ByYear!Q9-LCS_Top_Aggregate_ByYear!Q11)/LCS_Top_Aggregate_ByYear!Q13</f>
        <v>-0.25614141281745995</v>
      </c>
      <c r="R16">
        <f>(LCS_Top_Aggregate_ByYear!R9-LCS_Top_Aggregate_ByYear!R11)/LCS_Top_Aggregate_ByYear!R13</f>
        <v>-0.27793594852325054</v>
      </c>
      <c r="S16">
        <f>(LCS_Top_Aggregate_ByYear!S9-LCS_Top_Aggregate_ByYear!S11)/LCS_Top_Aggregate_ByYear!S13</f>
        <v>-0.1331499823144795</v>
      </c>
      <c r="T16">
        <f>(LCS_Top_Aggregate_ByYear!T9-LCS_Top_Aggregate_ByYear!T11)/LCS_Top_Aggregate_ByYear!T13</f>
        <v>-0.24546301690559541</v>
      </c>
      <c r="U16">
        <f>(LCS_Top_Aggregate_ByYear!U9-LCS_Top_Aggregate_ByYear!U11)/LCS_Top_Aggregate_ByYear!U13</f>
        <v>-3.9197022158012317E-2</v>
      </c>
      <c r="V16">
        <f>(LCS_Top_Aggregate_ByYear!V9-LCS_Top_Aggregate_ByYear!V11)/LCS_Top_Aggregate_ByYear!V13</f>
        <v>1.1434765317834681</v>
      </c>
      <c r="W16">
        <f>(LCS_Top_Aggregate_ByYear!W9-LCS_Top_Aggregate_ByYear!W11)/LCS_Top_Aggregate_ByYear!W13</f>
        <v>1.4195882306966459</v>
      </c>
      <c r="X16">
        <f>(LCS_Top_Aggregate_ByYear!X9-LCS_Top_Aggregate_ByYear!X11)/LCS_Top_Aggregate_ByYear!X13</f>
        <v>1.5658594598757749</v>
      </c>
      <c r="Y16">
        <f>(LCS_Top_Aggregate_ByYear!Y9-LCS_Top_Aggregate_ByYear!Y11)/LCS_Top_Aggregate_ByYear!Y13</f>
        <v>0.72530830972430205</v>
      </c>
      <c r="Z16">
        <f>(LCS_Top_Aggregate_ByYear!Z9-LCS_Top_Aggregate_ByYear!Z11)/LCS_Top_Aggregate_ByYear!Z13</f>
        <v>0.78191861243877148</v>
      </c>
      <c r="AA16">
        <f>(LCS_Top_Aggregate_ByYear!AA9-LCS_Top_Aggregate_ByYear!AA11)/LCS_Top_Aggregate_ByYear!AA13</f>
        <v>0.66740090147356668</v>
      </c>
      <c r="AB16">
        <f>(LCS_Top_Aggregate_ByYear!AB9-LCS_Top_Aggregate_ByYear!AB11)/LCS_Top_Aggregate_ByYear!AB13</f>
        <v>0.23032332502976199</v>
      </c>
      <c r="AC16">
        <f>(LCS_Top_Aggregate_ByYear!AC9-LCS_Top_Aggregate_ByYear!AC11)/LCS_Top_Aggregate_ByYear!AC13</f>
        <v>0.34938456712435267</v>
      </c>
      <c r="AD16">
        <f>(LCS_Top_Aggregate_ByYear!AD9-LCS_Top_Aggregate_ByYear!AD11)/LCS_Top_Aggregate_ByYear!AD13</f>
        <v>0.6479507850895323</v>
      </c>
      <c r="AE16">
        <f>(LCS_Top_Aggregate_ByYear!AE9-LCS_Top_Aggregate_ByYear!AE11)/LCS_Top_Aggregate_ByYear!AE13</f>
        <v>0.18458162124476921</v>
      </c>
      <c r="AF16">
        <f>(LCS_Top_Aggregate_ByYear!AF9-LCS_Top_Aggregate_ByYear!AF11)/LCS_Top_Aggregate_ByYear!AF13</f>
        <v>0.12500639561591834</v>
      </c>
      <c r="AG16">
        <f>(LCS_Top_Aggregate_ByYear!AG9-LCS_Top_Aggregate_ByYear!AG11)/LCS_Top_Aggregate_ByYear!AG13</f>
        <v>1.0099394437954254</v>
      </c>
      <c r="AH16">
        <f>(LCS_Top_Aggregate_ByYear!AH9-LCS_Top_Aggregate_ByYear!AH11)/LCS_Top_Aggregate_ByYear!AH13</f>
        <v>0.52643414984463799</v>
      </c>
      <c r="AI16">
        <f>(LCS_Top_Aggregate_ByYear!AI9-LCS_Top_Aggregate_ByYear!AI11)/LCS_Top_Aggregate_ByYear!AI13</f>
        <v>1.4366245445390837</v>
      </c>
      <c r="AJ16">
        <f>(LCS_Top_Aggregate_ByYear!AJ9-LCS_Top_Aggregate_ByYear!AJ11)/LCS_Top_Aggregate_ByYear!AJ13</f>
        <v>0.98454262944892834</v>
      </c>
      <c r="AK16">
        <f>(LCS_Top_Aggregate_ByYear!AK9-LCS_Top_Aggregate_ByYear!AK11)/LCS_Top_Aggregate_ByYear!AK13</f>
        <v>-0.20143057419443997</v>
      </c>
      <c r="AL16">
        <f>(LCS_Top_Aggregate_ByYear!AL9-LCS_Top_Aggregate_ByYear!AL11)/LCS_Top_Aggregate_ByYear!AL13</f>
        <v>-0.74889073410576668</v>
      </c>
      <c r="AM16">
        <f>(LCS_Top_Aggregate_ByYear!AM9-LCS_Top_Aggregate_ByYear!AM11)/LCS_Top_Aggregate_ByYear!AM13</f>
        <v>6.2150388949965857E-2</v>
      </c>
    </row>
    <row r="17" spans="1:39" x14ac:dyDescent="0.25">
      <c r="A17" t="s">
        <v>41</v>
      </c>
      <c r="B17">
        <v>2019</v>
      </c>
      <c r="C17">
        <v>0</v>
      </c>
      <c r="D17">
        <f>(LCS_Top_Aggregate_ByYear!D8-LCS_Top_Aggregate_ByYear!D10)/LCS_Top_Aggregate_ByYear!D12</f>
        <v>-0.21964997896055691</v>
      </c>
      <c r="E17">
        <f>(LCS_Top_Aggregate_ByYear!E8-LCS_Top_Aggregate_ByYear!E10)/LCS_Top_Aggregate_ByYear!E12</f>
        <v>0.15936779867328374</v>
      </c>
      <c r="F17">
        <f>(LCS_Top_Aggregate_ByYear!F8-LCS_Top_Aggregate_ByYear!F10)/LCS_Top_Aggregate_ByYear!F12</f>
        <v>-8.3218896938690223E-2</v>
      </c>
      <c r="G17">
        <f>(LCS_Top_Aggregate_ByYear!G8-LCS_Top_Aggregate_ByYear!G10)/LCS_Top_Aggregate_ByYear!G12</f>
        <v>-0.21317882234814156</v>
      </c>
      <c r="H17">
        <f>(LCS_Top_Aggregate_ByYear!H8-LCS_Top_Aggregate_ByYear!H10)/LCS_Top_Aggregate_ByYear!H12</f>
        <v>-5.2461501713362176E-2</v>
      </c>
      <c r="I17">
        <f>(I10-I12)/I14</f>
        <v>-5.2461501713362176E-2</v>
      </c>
      <c r="J17">
        <f>(LCS_Top_Aggregate_ByYear!J8-LCS_Top_Aggregate_ByYear!J10)/LCS_Top_Aggregate_ByYear!J12</f>
        <v>0.80230691070347604</v>
      </c>
      <c r="K17">
        <f>(LCS_Top_Aggregate_ByYear!K8-LCS_Top_Aggregate_ByYear!K10)/LCS_Top_Aggregate_ByYear!K12</f>
        <v>0.47387850012854071</v>
      </c>
      <c r="L17">
        <f>(LCS_Top_Aggregate_ByYear!L8-LCS_Top_Aggregate_ByYear!L10)/LCS_Top_Aggregate_ByYear!L12</f>
        <v>0.17650451959061239</v>
      </c>
      <c r="M17">
        <f>(LCS_Top_Aggregate_ByYear!M8-LCS_Top_Aggregate_ByYear!M10)/LCS_Top_Aggregate_ByYear!M12</f>
        <v>-0.36854116858580704</v>
      </c>
      <c r="N17">
        <f>(LCS_Top_Aggregate_ByYear!N8-LCS_Top_Aggregate_ByYear!N10)/LCS_Top_Aggregate_ByYear!N12</f>
        <v>0.59834683641874153</v>
      </c>
      <c r="O17">
        <f>(LCS_Top_Aggregate_ByYear!O8-LCS_Top_Aggregate_ByYear!O10)/LCS_Top_Aggregate_ByYear!O12</f>
        <v>-6.6537126525377938E-2</v>
      </c>
      <c r="P17">
        <f>(LCS_Top_Aggregate_ByYear!P8-LCS_Top_Aggregate_ByYear!P10)/LCS_Top_Aggregate_ByYear!P12</f>
        <v>-0.37324572888305219</v>
      </c>
      <c r="Q17">
        <f>(LCS_Top_Aggregate_ByYear!Q8-LCS_Top_Aggregate_ByYear!Q10)/LCS_Top_Aggregate_ByYear!Q12</f>
        <v>-0.33141168746590133</v>
      </c>
      <c r="R17">
        <f>(LCS_Top_Aggregate_ByYear!R8-LCS_Top_Aggregate_ByYear!R10)/LCS_Top_Aggregate_ByYear!R12</f>
        <v>0.13189438689712779</v>
      </c>
      <c r="S17">
        <f>(LCS_Top_Aggregate_ByYear!S8-LCS_Top_Aggregate_ByYear!S10)/LCS_Top_Aggregate_ByYear!S12</f>
        <v>-5.4998505632902803E-2</v>
      </c>
      <c r="T17">
        <f>(LCS_Top_Aggregate_ByYear!T8-LCS_Top_Aggregate_ByYear!T10)/LCS_Top_Aggregate_ByYear!T12</f>
        <v>-0.38173362225404672</v>
      </c>
      <c r="U17">
        <f>(LCS_Top_Aggregate_ByYear!U8-LCS_Top_Aggregate_ByYear!U10)/LCS_Top_Aggregate_ByYear!U12</f>
        <v>0.46031856461286086</v>
      </c>
      <c r="V17">
        <f>(LCS_Top_Aggregate_ByYear!V8-LCS_Top_Aggregate_ByYear!V10)/LCS_Top_Aggregate_ByYear!V12</f>
        <v>-5.9668107927935754E-2</v>
      </c>
      <c r="W17">
        <f>(LCS_Top_Aggregate_ByYear!W8-LCS_Top_Aggregate_ByYear!W10)/LCS_Top_Aggregate_ByYear!W12</f>
        <v>1.4466844397277653E-2</v>
      </c>
      <c r="X17">
        <f>(LCS_Top_Aggregate_ByYear!X8-LCS_Top_Aggregate_ByYear!X10)/LCS_Top_Aggregate_ByYear!X12</f>
        <v>0.70554505265418332</v>
      </c>
      <c r="Y17">
        <f>(LCS_Top_Aggregate_ByYear!Y8-LCS_Top_Aggregate_ByYear!Y10)/LCS_Top_Aggregate_ByYear!Y12</f>
        <v>0.41032194505577696</v>
      </c>
      <c r="Z17">
        <f>(LCS_Top_Aggregate_ByYear!Z8-LCS_Top_Aggregate_ByYear!Z10)/LCS_Top_Aggregate_ByYear!Z12</f>
        <v>0.15614126641346704</v>
      </c>
      <c r="AA17">
        <f>(LCS_Top_Aggregate_ByYear!AA8-LCS_Top_Aggregate_ByYear!AA10)/LCS_Top_Aggregate_ByYear!AA12</f>
        <v>-0.27502900935214025</v>
      </c>
      <c r="AB17">
        <f>(LCS_Top_Aggregate_ByYear!AB8-LCS_Top_Aggregate_ByYear!AB10)/LCS_Top_Aggregate_ByYear!AB12</f>
        <v>-0.2611372782436418</v>
      </c>
      <c r="AC17">
        <f>(LCS_Top_Aggregate_ByYear!AC8-LCS_Top_Aggregate_ByYear!AC10)/LCS_Top_Aggregate_ByYear!AC12</f>
        <v>-7.7253080890264128E-2</v>
      </c>
      <c r="AD17">
        <f>(LCS_Top_Aggregate_ByYear!AD8-LCS_Top_Aggregate_ByYear!AD10)/LCS_Top_Aggregate_ByYear!AD12</f>
        <v>0.57287528863393822</v>
      </c>
      <c r="AE17">
        <f>(LCS_Top_Aggregate_ByYear!AE8-LCS_Top_Aggregate_ByYear!AE10)/LCS_Top_Aggregate_ByYear!AE12</f>
        <v>0.31655500991882046</v>
      </c>
      <c r="AF17">
        <f>(LCS_Top_Aggregate_ByYear!AF8-LCS_Top_Aggregate_ByYear!AF10)/LCS_Top_Aggregate_ByYear!AF12</f>
        <v>0.15870132483552934</v>
      </c>
      <c r="AG17">
        <f>(LCS_Top_Aggregate_ByYear!AG8-LCS_Top_Aggregate_ByYear!AG10)/LCS_Top_Aggregate_ByYear!AG12</f>
        <v>1.1202784662582177</v>
      </c>
      <c r="AH17">
        <f>(LCS_Top_Aggregate_ByYear!AH8-LCS_Top_Aggregate_ByYear!AH10)/LCS_Top_Aggregate_ByYear!AH12</f>
        <v>-7.8920648913211794E-2</v>
      </c>
      <c r="AI17">
        <f>(LCS_Top_Aggregate_ByYear!AI8-LCS_Top_Aggregate_ByYear!AI10)/LCS_Top_Aggregate_ByYear!AI12</f>
        <v>0.22101031620179248</v>
      </c>
      <c r="AJ17">
        <f>(LCS_Top_Aggregate_ByYear!AJ8-LCS_Top_Aggregate_ByYear!AJ10)/LCS_Top_Aggregate_ByYear!AJ12</f>
        <v>4.827154381893687E-2</v>
      </c>
      <c r="AK17">
        <f>(LCS_Top_Aggregate_ByYear!AK8-LCS_Top_Aggregate_ByYear!AK10)/LCS_Top_Aggregate_ByYear!AK12</f>
        <v>0.23322496738907147</v>
      </c>
      <c r="AL17">
        <f>(LCS_Top_Aggregate_ByYear!AL8-LCS_Top_Aggregate_ByYear!AL10)/LCS_Top_Aggregate_ByYear!AL12</f>
        <v>-4.4990210898180935E-2</v>
      </c>
      <c r="AM17">
        <f>(LCS_Top_Aggregate_ByYear!AM8-LCS_Top_Aggregate_ByYear!AM10)/LCS_Top_Aggregate_ByYear!AM12</f>
        <v>0.55452718729391126</v>
      </c>
    </row>
    <row r="18" spans="1:39" x14ac:dyDescent="0.25">
      <c r="A18" t="s">
        <v>37</v>
      </c>
      <c r="B18">
        <v>2020</v>
      </c>
      <c r="C18">
        <v>0</v>
      </c>
      <c r="D18">
        <v>2</v>
      </c>
      <c r="E18">
        <v>4</v>
      </c>
      <c r="F18">
        <v>0</v>
      </c>
      <c r="G18" s="1">
        <v>0.5</v>
      </c>
      <c r="H18">
        <v>66.666700000000006</v>
      </c>
      <c r="I18" s="2">
        <v>66.666700000000006</v>
      </c>
      <c r="J18" s="1">
        <v>0.242158994078636</v>
      </c>
      <c r="K18">
        <v>0.219696000218391</v>
      </c>
      <c r="L18" s="1">
        <v>0.90723865555474503</v>
      </c>
      <c r="M18" s="1">
        <v>52.840608475197797</v>
      </c>
      <c r="N18">
        <v>203</v>
      </c>
      <c r="O18">
        <v>9160</v>
      </c>
      <c r="P18">
        <v>25513</v>
      </c>
      <c r="Q18">
        <v>2.7852999999999999</v>
      </c>
      <c r="R18">
        <v>5949</v>
      </c>
      <c r="S18">
        <v>292.28259277343699</v>
      </c>
      <c r="T18">
        <v>1656</v>
      </c>
      <c r="U18">
        <v>10.589949013530299</v>
      </c>
      <c r="V18">
        <v>3475</v>
      </c>
      <c r="W18">
        <v>4562</v>
      </c>
      <c r="X18">
        <v>80</v>
      </c>
      <c r="Y18">
        <v>2965</v>
      </c>
      <c r="Z18">
        <v>4109</v>
      </c>
      <c r="AA18">
        <v>70</v>
      </c>
      <c r="AB18">
        <v>510</v>
      </c>
      <c r="AC18">
        <v>453</v>
      </c>
      <c r="AD18">
        <v>10</v>
      </c>
      <c r="AE18">
        <v>4894</v>
      </c>
      <c r="AF18">
        <v>7221</v>
      </c>
      <c r="AG18">
        <v>123</v>
      </c>
      <c r="AH18">
        <v>5540</v>
      </c>
      <c r="AI18">
        <v>6952</v>
      </c>
      <c r="AJ18">
        <v>126</v>
      </c>
      <c r="AK18">
        <v>-646</v>
      </c>
      <c r="AL18">
        <v>269</v>
      </c>
      <c r="AM18">
        <v>-3</v>
      </c>
    </row>
    <row r="19" spans="1:39" x14ac:dyDescent="0.25">
      <c r="A19" t="s">
        <v>37</v>
      </c>
      <c r="B19">
        <v>2020</v>
      </c>
      <c r="C19">
        <v>1</v>
      </c>
      <c r="D19">
        <v>2.9091</v>
      </c>
      <c r="E19">
        <v>1.6364000000000001</v>
      </c>
      <c r="F19">
        <v>6</v>
      </c>
      <c r="G19" s="1">
        <v>6.7722222199999997</v>
      </c>
      <c r="H19">
        <v>18.695572729999999</v>
      </c>
      <c r="I19" s="2">
        <v>18.695572729999999</v>
      </c>
      <c r="J19" s="1">
        <v>0.22391872920773201</v>
      </c>
      <c r="K19">
        <v>0.21881727400151099</v>
      </c>
      <c r="L19" s="1">
        <v>0.96458444063378301</v>
      </c>
      <c r="M19" s="1">
        <v>64.438991951721803</v>
      </c>
      <c r="N19">
        <v>285.5455</v>
      </c>
      <c r="O19">
        <v>13945.6</v>
      </c>
      <c r="P19">
        <v>22711.1</v>
      </c>
      <c r="Q19">
        <v>1.6179399999999999</v>
      </c>
      <c r="R19">
        <v>10987</v>
      </c>
      <c r="S19">
        <v>417.69232732599397</v>
      </c>
      <c r="T19">
        <v>2140.9090999999999</v>
      </c>
      <c r="U19">
        <v>12.521949717081201</v>
      </c>
      <c r="V19">
        <v>3072.2727</v>
      </c>
      <c r="W19">
        <v>4527.6364000000003</v>
      </c>
      <c r="X19">
        <v>74.363600000000005</v>
      </c>
      <c r="Y19">
        <v>3248.5455000000002</v>
      </c>
      <c r="Z19">
        <v>4587.2727000000004</v>
      </c>
      <c r="AA19">
        <v>78.363600000000005</v>
      </c>
      <c r="AB19">
        <v>-176.27269999999999</v>
      </c>
      <c r="AC19">
        <v>-59.636400000000002</v>
      </c>
      <c r="AD19">
        <v>-4</v>
      </c>
      <c r="AE19">
        <v>4927.4544999999998</v>
      </c>
      <c r="AF19">
        <v>7288.6364000000003</v>
      </c>
      <c r="AG19">
        <v>123.0909</v>
      </c>
      <c r="AH19">
        <v>5214.1818000000003</v>
      </c>
      <c r="AI19">
        <v>7036.0909000000001</v>
      </c>
      <c r="AJ19">
        <v>120.0909</v>
      </c>
      <c r="AK19">
        <v>-286.72730000000001</v>
      </c>
      <c r="AL19">
        <v>252.5455</v>
      </c>
      <c r="AM19">
        <v>3</v>
      </c>
    </row>
    <row r="20" spans="1:39" x14ac:dyDescent="0.25">
      <c r="A20" t="s">
        <v>38</v>
      </c>
      <c r="B20">
        <v>2020</v>
      </c>
      <c r="C20">
        <v>1</v>
      </c>
      <c r="D20">
        <v>3.0588000000000002</v>
      </c>
      <c r="E20">
        <v>1.9412</v>
      </c>
      <c r="F20">
        <v>6.7647000000000004</v>
      </c>
      <c r="G20" s="1">
        <v>6.1288999999999998</v>
      </c>
      <c r="H20">
        <v>18.336547060000001</v>
      </c>
      <c r="I20" s="2">
        <v>18.336547060000001</v>
      </c>
      <c r="J20" s="1">
        <v>0.21965794089962401</v>
      </c>
      <c r="K20">
        <v>0.21850373508299001</v>
      </c>
      <c r="L20" s="1">
        <v>0.994785534168938</v>
      </c>
      <c r="M20" s="1">
        <v>71.239046648910303</v>
      </c>
      <c r="N20">
        <v>254.97059999999999</v>
      </c>
      <c r="O20">
        <v>13221</v>
      </c>
      <c r="P20">
        <v>24422.636399999999</v>
      </c>
      <c r="Q20">
        <v>1.7985151500000001</v>
      </c>
      <c r="R20">
        <v>11652.697</v>
      </c>
      <c r="S20">
        <v>475.13182067871003</v>
      </c>
      <c r="T20">
        <v>2001.9412</v>
      </c>
      <c r="U20">
        <v>14.6206330128099</v>
      </c>
      <c r="V20">
        <v>3270.0882000000001</v>
      </c>
      <c r="W20">
        <v>4506.5587999999998</v>
      </c>
      <c r="X20">
        <v>75</v>
      </c>
      <c r="Y20">
        <v>3183.6765</v>
      </c>
      <c r="Z20">
        <v>4449.9412000000002</v>
      </c>
      <c r="AA20">
        <v>73.676500000000004</v>
      </c>
      <c r="AB20">
        <v>86.411799999999999</v>
      </c>
      <c r="AC20">
        <v>56.617600000000003</v>
      </c>
      <c r="AD20">
        <v>1.3234999999999999</v>
      </c>
      <c r="AE20">
        <v>5304.0294000000004</v>
      </c>
      <c r="AF20">
        <v>7243.4705999999996</v>
      </c>
      <c r="AG20">
        <v>121.94119999999999</v>
      </c>
      <c r="AH20">
        <v>5052.6764999999996</v>
      </c>
      <c r="AI20">
        <v>7011.3528999999999</v>
      </c>
      <c r="AJ20">
        <v>119.0294</v>
      </c>
      <c r="AK20">
        <v>251.35290000000001</v>
      </c>
      <c r="AL20">
        <v>232.11760000000001</v>
      </c>
      <c r="AM20">
        <v>2.9117999999999999</v>
      </c>
    </row>
    <row r="21" spans="1:39" x14ac:dyDescent="0.25">
      <c r="A21" t="s">
        <v>38</v>
      </c>
      <c r="B21">
        <v>2020</v>
      </c>
      <c r="C21">
        <v>0</v>
      </c>
      <c r="D21">
        <v>1.1000000000000001</v>
      </c>
      <c r="E21">
        <v>2.7</v>
      </c>
      <c r="F21">
        <v>2</v>
      </c>
      <c r="G21" s="1">
        <v>1.5526315799999999</v>
      </c>
      <c r="H21">
        <v>20.219067500000001</v>
      </c>
      <c r="I21" s="2">
        <v>20.219067500000001</v>
      </c>
      <c r="J21" s="1">
        <v>0.227449747920036</v>
      </c>
      <c r="K21">
        <v>0.23242930024862199</v>
      </c>
      <c r="L21" s="1">
        <v>1.0398354820500999</v>
      </c>
      <c r="M21" s="1">
        <v>59.632453777018299</v>
      </c>
      <c r="N21">
        <v>240.35</v>
      </c>
      <c r="O21">
        <v>10648.7</v>
      </c>
      <c r="P21">
        <v>21936.400000000001</v>
      </c>
      <c r="Q21">
        <v>2.04392</v>
      </c>
      <c r="R21">
        <v>4639</v>
      </c>
      <c r="S21">
        <v>327.960304260253</v>
      </c>
      <c r="T21">
        <v>1910.85</v>
      </c>
      <c r="U21">
        <v>10.4277443510219</v>
      </c>
      <c r="V21">
        <v>3101.9</v>
      </c>
      <c r="W21">
        <v>4511.6499999999996</v>
      </c>
      <c r="X21">
        <v>74.05</v>
      </c>
      <c r="Y21">
        <v>3258.45</v>
      </c>
      <c r="Z21">
        <v>4603.25</v>
      </c>
      <c r="AA21">
        <v>73.5</v>
      </c>
      <c r="AB21">
        <v>-156.55000000000001</v>
      </c>
      <c r="AC21">
        <v>-91.6</v>
      </c>
      <c r="AD21">
        <v>0.55000000000000004</v>
      </c>
      <c r="AE21">
        <v>4789.2</v>
      </c>
      <c r="AF21">
        <v>6952.3</v>
      </c>
      <c r="AG21">
        <v>117.95</v>
      </c>
      <c r="AH21">
        <v>5063.5</v>
      </c>
      <c r="AI21">
        <v>7302.1</v>
      </c>
      <c r="AJ21">
        <v>120.55</v>
      </c>
      <c r="AK21">
        <v>-274.3</v>
      </c>
      <c r="AL21">
        <v>-349.8</v>
      </c>
      <c r="AM21">
        <v>-2.6</v>
      </c>
    </row>
    <row r="22" spans="1:39" x14ac:dyDescent="0.25">
      <c r="A22" t="s">
        <v>39</v>
      </c>
      <c r="B22">
        <v>2020</v>
      </c>
      <c r="C22">
        <v>1</v>
      </c>
      <c r="D22">
        <v>1.62591470130414</v>
      </c>
      <c r="E22">
        <v>1.53280167303475</v>
      </c>
      <c r="F22">
        <v>3.0103627251585801</v>
      </c>
      <c r="G22" s="1">
        <v>3.7274291013614702</v>
      </c>
      <c r="H22">
        <v>9.2319446584030693</v>
      </c>
      <c r="I22" s="2">
        <v>9.2319446584030693</v>
      </c>
      <c r="J22" s="1">
        <v>2.3902748045508501E-2</v>
      </c>
      <c r="K22">
        <v>5.70169372657887E-2</v>
      </c>
      <c r="L22" s="1">
        <v>0.23048612169750099</v>
      </c>
      <c r="M22" s="1">
        <v>21.243608049389199</v>
      </c>
      <c r="N22">
        <v>50.077284561622697</v>
      </c>
      <c r="O22">
        <v>2774.3835569747898</v>
      </c>
      <c r="P22">
        <v>11879.1907484249</v>
      </c>
      <c r="Q22">
        <v>0.59894925684144695</v>
      </c>
      <c r="R22">
        <v>5887.8953974406604</v>
      </c>
      <c r="S22">
        <v>147.17158982791801</v>
      </c>
      <c r="T22">
        <v>469.74999240374802</v>
      </c>
      <c r="U22">
        <v>4.4889195209507298</v>
      </c>
      <c r="V22">
        <v>295.35177108851201</v>
      </c>
      <c r="W22">
        <v>326.38638156210499</v>
      </c>
      <c r="X22">
        <v>9.7377373866707195</v>
      </c>
      <c r="Y22">
        <v>332.20535114401702</v>
      </c>
      <c r="Z22">
        <v>394.20574959071803</v>
      </c>
      <c r="AA22">
        <v>11.4653457099703</v>
      </c>
      <c r="AB22">
        <v>522.316509725836</v>
      </c>
      <c r="AC22">
        <v>517.02673811310297</v>
      </c>
      <c r="AD22">
        <v>13.553207973272601</v>
      </c>
      <c r="AE22">
        <v>627.81050369256502</v>
      </c>
      <c r="AF22">
        <v>515.67752322403703</v>
      </c>
      <c r="AG22">
        <v>14.098271017211299</v>
      </c>
      <c r="AH22">
        <v>668.75770344494299</v>
      </c>
      <c r="AI22">
        <v>586.27151320632299</v>
      </c>
      <c r="AJ22">
        <v>16.6247251974062</v>
      </c>
      <c r="AK22">
        <v>1155.8927510383901</v>
      </c>
      <c r="AL22">
        <v>828.40845866906898</v>
      </c>
      <c r="AM22">
        <v>21.249730305636401</v>
      </c>
    </row>
    <row r="23" spans="1:39" x14ac:dyDescent="0.25">
      <c r="A23" t="s">
        <v>39</v>
      </c>
      <c r="B23">
        <v>2020</v>
      </c>
      <c r="C23">
        <v>0</v>
      </c>
      <c r="D23">
        <v>1.1789826122551501</v>
      </c>
      <c r="E23">
        <v>1.5198684153570601</v>
      </c>
      <c r="F23">
        <v>1.7320508075688701</v>
      </c>
      <c r="G23" s="1">
        <v>1.53917900913463</v>
      </c>
      <c r="H23">
        <v>15.5411705897645</v>
      </c>
      <c r="I23" s="2">
        <v>15.5411705897645</v>
      </c>
      <c r="J23" s="1">
        <v>3.1962328583527697E-2</v>
      </c>
      <c r="K23">
        <v>5.4808548081983099E-2</v>
      </c>
      <c r="L23" s="1">
        <v>0.28224535374691201</v>
      </c>
      <c r="M23" s="1">
        <v>16.0620513253258</v>
      </c>
      <c r="N23">
        <v>54.0085872801723</v>
      </c>
      <c r="O23">
        <v>2512.9873875529101</v>
      </c>
      <c r="P23">
        <v>8691.2687129095193</v>
      </c>
      <c r="Q23">
        <v>0.51828157543227804</v>
      </c>
      <c r="R23">
        <v>4808.2268769266702</v>
      </c>
      <c r="S23">
        <v>86.659014217828499</v>
      </c>
      <c r="T23">
        <v>305.31987734178</v>
      </c>
      <c r="U23">
        <v>2.7444040480684699</v>
      </c>
      <c r="V23">
        <v>147.12304374230399</v>
      </c>
      <c r="W23">
        <v>382.90093692755499</v>
      </c>
      <c r="X23">
        <v>10.837319779354999</v>
      </c>
      <c r="Y23">
        <v>315.26504325725602</v>
      </c>
      <c r="Z23">
        <v>275.45777807133999</v>
      </c>
      <c r="AA23">
        <v>6.6520673478250298</v>
      </c>
      <c r="AB23">
        <v>344.00791778678501</v>
      </c>
      <c r="AC23">
        <v>482.587960894177</v>
      </c>
      <c r="AD23">
        <v>13.803894378036899</v>
      </c>
      <c r="AE23">
        <v>332.32372771139802</v>
      </c>
      <c r="AF23">
        <v>700.76373336524705</v>
      </c>
      <c r="AG23">
        <v>17.4827772393289</v>
      </c>
      <c r="AH23">
        <v>431.830232846196</v>
      </c>
      <c r="AI23">
        <v>444.91245206219997</v>
      </c>
      <c r="AJ23">
        <v>14.1932202124817</v>
      </c>
      <c r="AK23">
        <v>617.23764467180695</v>
      </c>
      <c r="AL23">
        <v>855.60648665142696</v>
      </c>
      <c r="AM23">
        <v>22.852570971337101</v>
      </c>
    </row>
    <row r="24" spans="1:39" x14ac:dyDescent="0.25">
      <c r="A24" t="s">
        <v>41</v>
      </c>
      <c r="B24">
        <v>2020</v>
      </c>
      <c r="C24">
        <v>1</v>
      </c>
      <c r="D24">
        <f>(LCS_Top_Aggregate_ByYear!D15-LCS_Top_Aggregate_ByYear!D16)/LCS_Top_Aggregate_ByYear!D18</f>
        <v>-9.2071250650434713E-2</v>
      </c>
      <c r="E24">
        <f>(LCS_Top_Aggregate_ByYear!E15-LCS_Top_Aggregate_ByYear!E16)/LCS_Top_Aggregate_ByYear!E18</f>
        <v>-0.19885155748593045</v>
      </c>
      <c r="F24">
        <f>(LCS_Top_Aggregate_ByYear!F15-LCS_Top_Aggregate_ByYear!F16)/LCS_Top_Aggregate_ByYear!F18</f>
        <v>-0.25402254472829933</v>
      </c>
      <c r="G24">
        <f>(LCS_Top_Aggregate_ByYear!G15-LCS_Top_Aggregate_ByYear!G16)/LCS_Top_Aggregate_ByYear!G18</f>
        <v>0.17259140348639276</v>
      </c>
      <c r="H24">
        <f>(LCS_Top_Aggregate_ByYear!H15-LCS_Top_Aggregate_ByYear!H16)/LCS_Top_Aggregate_ByYear!H18</f>
        <v>3.8889495473004868E-2</v>
      </c>
      <c r="I24">
        <f>(I18-I21)/I23</f>
        <v>2.9886830101839736</v>
      </c>
      <c r="J24">
        <f>(LCS_Top_Aggregate_ByYear!J15-LCS_Top_Aggregate_ByYear!J16)/LCS_Top_Aggregate_ByYear!J18</f>
        <v>0.17825516547285164</v>
      </c>
      <c r="K24">
        <f>(LCS_Top_Aggregate_ByYear!K15-LCS_Top_Aggregate_ByYear!K16)/LCS_Top_Aggregate_ByYear!K18</f>
        <v>5.4990487661481808E-3</v>
      </c>
      <c r="L24">
        <f>(LCS_Top_Aggregate_ByYear!L15-LCS_Top_Aggregate_ByYear!L16)/LCS_Top_Aggregate_ByYear!L18</f>
        <v>-0.13103215635166132</v>
      </c>
      <c r="M24">
        <f>(LCS_Top_Aggregate_ByYear!M15-LCS_Top_Aggregate_ByYear!M16)/LCS_Top_Aggregate_ByYear!M18</f>
        <v>-0.32009885897814883</v>
      </c>
      <c r="N24">
        <f>(LCS_Top_Aggregate_ByYear!N15-LCS_Top_Aggregate_ByYear!N16)/LCS_Top_Aggregate_ByYear!N18</f>
        <v>0.61055427161542697</v>
      </c>
      <c r="O24">
        <f>(LCS_Top_Aggregate_ByYear!O15-LCS_Top_Aggregate_ByYear!O16)/LCS_Top_Aggregate_ByYear!O18</f>
        <v>0.26117513498750333</v>
      </c>
      <c r="P24">
        <f>(LCS_Top_Aggregate_ByYear!P15-LCS_Top_Aggregate_ByYear!P16)/LCS_Top_Aggregate_ByYear!P18</f>
        <v>-0.14407853499843321</v>
      </c>
      <c r="Q24">
        <f>(LCS_Top_Aggregate_ByYear!Q15-LCS_Top_Aggregate_ByYear!Q16)/LCS_Top_Aggregate_ByYear!Q18</f>
        <v>-0.30148655823076137</v>
      </c>
      <c r="R24">
        <f>(LCS_Top_Aggregate_ByYear!R15-LCS_Top_Aggregate_ByYear!R16)/LCS_Top_Aggregate_ByYear!R18</f>
        <v>-0.11306196103438999</v>
      </c>
      <c r="S24">
        <f>(LCS_Top_Aggregate_ByYear!S15-LCS_Top_Aggregate_ByYear!S16)/LCS_Top_Aggregate_ByYear!S18</f>
        <v>-0.3902892767542826</v>
      </c>
      <c r="T24">
        <f>(LCS_Top_Aggregate_ByYear!T15-LCS_Top_Aggregate_ByYear!T16)/LCS_Top_Aggregate_ByYear!T18</f>
        <v>0.29583374613566271</v>
      </c>
      <c r="U24">
        <f>(LCS_Top_Aggregate_ByYear!U15-LCS_Top_Aggregate_ByYear!U16)/LCS_Top_Aggregate_ByYear!U18</f>
        <v>-0.46752526658892057</v>
      </c>
      <c r="V24">
        <f>(LCS_Top_Aggregate_ByYear!V15-LCS_Top_Aggregate_ByYear!V16)/LCS_Top_Aggregate_ByYear!V18</f>
        <v>-0.66976236259209077</v>
      </c>
      <c r="W24">
        <f>(LCS_Top_Aggregate_ByYear!W15-LCS_Top_Aggregate_ByYear!W16)/LCS_Top_Aggregate_ByYear!W18</f>
        <v>6.4578674818238008E-2</v>
      </c>
      <c r="X24">
        <f>(LCS_Top_Aggregate_ByYear!X15-LCS_Top_Aggregate_ByYear!X16)/LCS_Top_Aggregate_ByYear!X18</f>
        <v>-6.5353990842997714E-2</v>
      </c>
      <c r="Y24">
        <f>(LCS_Top_Aggregate_ByYear!Y15-LCS_Top_Aggregate_ByYear!Y16)/LCS_Top_Aggregate_ByYear!Y18</f>
        <v>0.19526777571947737</v>
      </c>
      <c r="Z24">
        <f>(LCS_Top_Aggregate_ByYear!Z15-LCS_Top_Aggregate_ByYear!Z16)/LCS_Top_Aggregate_ByYear!Z18</f>
        <v>0.34837518261107026</v>
      </c>
      <c r="AA24">
        <f>(LCS_Top_Aggregate_ByYear!AA15-LCS_Top_Aggregate_ByYear!AA16)/LCS_Top_Aggregate_ByYear!AA18</f>
        <v>0.40880581524236848</v>
      </c>
      <c r="AB24">
        <f>(LCS_Top_Aggregate_ByYear!AB15-LCS_Top_Aggregate_ByYear!AB16)/LCS_Top_Aggregate_ByYear!AB18</f>
        <v>-0.50292206948978713</v>
      </c>
      <c r="AC24">
        <f>(LCS_Top_Aggregate_ByYear!AC15-LCS_Top_Aggregate_ByYear!AC16)/LCS_Top_Aggregate_ByYear!AC18</f>
        <v>-0.22485104043994081</v>
      </c>
      <c r="AD24">
        <f>(LCS_Top_Aggregate_ByYear!AD15-LCS_Top_Aggregate_ByYear!AD16)/LCS_Top_Aggregate_ByYear!AD18</f>
        <v>-0.3927852365652566</v>
      </c>
      <c r="AE24">
        <f>(LCS_Top_Aggregate_ByYear!AE15-LCS_Top_Aggregate_ByYear!AE16)/LCS_Top_Aggregate_ByYear!AE18</f>
        <v>-0.59982255439358967</v>
      </c>
      <c r="AF24">
        <f>(LCS_Top_Aggregate_ByYear!AF15-LCS_Top_Aggregate_ByYear!AF16)/LCS_Top_Aggregate_ByYear!AF18</f>
        <v>8.7585357061176983E-2</v>
      </c>
      <c r="AG24">
        <f>(LCS_Top_Aggregate_ByYear!AG15-LCS_Top_Aggregate_ByYear!AG16)/LCS_Top_Aggregate_ByYear!AG18</f>
        <v>8.1549006867327606E-2</v>
      </c>
      <c r="AH24">
        <f>(LCS_Top_Aggregate_ByYear!AH15-LCS_Top_Aggregate_ByYear!AH16)/LCS_Top_Aggregate_ByYear!AH18</f>
        <v>0.24150047045147346</v>
      </c>
      <c r="AI24">
        <f>(LCS_Top_Aggregate_ByYear!AI15-LCS_Top_Aggregate_ByYear!AI16)/LCS_Top_Aggregate_ByYear!AI18</f>
        <v>4.2195466507843761E-2</v>
      </c>
      <c r="AJ24">
        <f>(LCS_Top_Aggregate_ByYear!AJ15-LCS_Top_Aggregate_ByYear!AJ16)/LCS_Top_Aggregate_ByYear!AJ18</f>
        <v>6.3850679478637359E-2</v>
      </c>
      <c r="AK24">
        <f>(LCS_Top_Aggregate_ByYear!AK15-LCS_Top_Aggregate_ByYear!AK16)/LCS_Top_Aggregate_ByYear!AK18</f>
        <v>-0.46551048920119842</v>
      </c>
      <c r="AL24">
        <f>(LCS_Top_Aggregate_ByYear!AL15-LCS_Top_Aggregate_ByYear!AL16)/LCS_Top_Aggregate_ByYear!AL18</f>
        <v>2.4659212235495161E-2</v>
      </c>
      <c r="AM24">
        <f>(LCS_Top_Aggregate_ByYear!AM15-LCS_Top_Aggregate_ByYear!AM16)/LCS_Top_Aggregate_ByYear!AM18</f>
        <v>4.1506409131510423E-3</v>
      </c>
    </row>
    <row r="25" spans="1:39" x14ac:dyDescent="0.25">
      <c r="A25" t="s">
        <v>41</v>
      </c>
      <c r="B25">
        <v>2020</v>
      </c>
      <c r="C25">
        <v>0</v>
      </c>
      <c r="D25">
        <f>(LCS_Top_Aggregate_ByYear!D14-LCS_Top_Aggregate_ByYear!D17)/LCS_Top_Aggregate_ByYear!D19</f>
        <v>0.76337003671197989</v>
      </c>
      <c r="E25">
        <f>(LCS_Top_Aggregate_ByYear!E14-LCS_Top_Aggregate_ByYear!E17)/LCS_Top_Aggregate_ByYear!E19</f>
        <v>0.85533720344770314</v>
      </c>
      <c r="F25">
        <f>(LCS_Top_Aggregate_ByYear!F14-LCS_Top_Aggregate_ByYear!F17)/LCS_Top_Aggregate_ByYear!F19</f>
        <v>-1.1547005383792563</v>
      </c>
      <c r="G25">
        <f>(LCS_Top_Aggregate_ByYear!G14-LCS_Top_Aggregate_ByYear!G17)/LCS_Top_Aggregate_ByYear!G19</f>
        <v>-0.6838915900963457</v>
      </c>
      <c r="H25">
        <f>(LCS_Top_Aggregate_ByYear!H14-LCS_Top_Aggregate_ByYear!H17)/LCS_Top_Aggregate_ByYear!H19</f>
        <v>2.9886830101839736</v>
      </c>
      <c r="I25">
        <f>(I19-I20)/I22</f>
        <v>3.8889495473004868E-2</v>
      </c>
      <c r="J25">
        <f>(LCS_Top_Aggregate_ByYear!J14-LCS_Top_Aggregate_ByYear!J17)/LCS_Top_Aggregate_ByYear!J19</f>
        <v>0.46020571123784304</v>
      </c>
      <c r="K25">
        <f>(LCS_Top_Aggregate_ByYear!K14-LCS_Top_Aggregate_ByYear!K17)/LCS_Top_Aggregate_ByYear!K19</f>
        <v>-0.23232325021973593</v>
      </c>
      <c r="L25">
        <f>(LCS_Top_Aggregate_ByYear!L14-LCS_Top_Aggregate_ByYear!L17)/LCS_Top_Aggregate_ByYear!L19</f>
        <v>-0.46979276978374557</v>
      </c>
      <c r="M25">
        <f>(LCS_Top_Aggregate_ByYear!M14-LCS_Top_Aggregate_ByYear!M17)/LCS_Top_Aggregate_ByYear!M19</f>
        <v>-0.42285042951590346</v>
      </c>
      <c r="N25">
        <f>(LCS_Top_Aggregate_ByYear!N14-LCS_Top_Aggregate_ByYear!N17)/LCS_Top_Aggregate_ByYear!N19</f>
        <v>-0.69155669275785658</v>
      </c>
      <c r="O25">
        <f>(LCS_Top_Aggregate_ByYear!O14-LCS_Top_Aggregate_ByYear!O17)/LCS_Top_Aggregate_ByYear!O19</f>
        <v>-0.59240249568051473</v>
      </c>
      <c r="P25">
        <f>(LCS_Top_Aggregate_ByYear!P14-LCS_Top_Aggregate_ByYear!P17)/LCS_Top_Aggregate_ByYear!P19</f>
        <v>0.41151644462304093</v>
      </c>
      <c r="Q25">
        <f>(LCS_Top_Aggregate_ByYear!Q14-LCS_Top_Aggregate_ByYear!Q17)/LCS_Top_Aggregate_ByYear!Q19</f>
        <v>1.4304579501627939</v>
      </c>
      <c r="R25">
        <f>(LCS_Top_Aggregate_ByYear!R14-LCS_Top_Aggregate_ByYear!R17)/LCS_Top_Aggregate_ByYear!R19</f>
        <v>0.2724497062079832</v>
      </c>
      <c r="S25">
        <f>(LCS_Top_Aggregate_ByYear!S14-LCS_Top_Aggregate_ByYear!S17)/LCS_Top_Aggregate_ByYear!S19</f>
        <v>-0.41170225404521132</v>
      </c>
      <c r="T25">
        <f>(LCS_Top_Aggregate_ByYear!T14-LCS_Top_Aggregate_ByYear!T17)/LCS_Top_Aggregate_ByYear!T19</f>
        <v>-0.83469835707655782</v>
      </c>
      <c r="U25">
        <f>(LCS_Top_Aggregate_ByYear!U14-LCS_Top_Aggregate_ByYear!U17)/LCS_Top_Aggregate_ByYear!U19</f>
        <v>5.9103783432530643E-2</v>
      </c>
      <c r="V25">
        <f>(LCS_Top_Aggregate_ByYear!V14-LCS_Top_Aggregate_ByYear!V17)/LCS_Top_Aggregate_ByYear!V19</f>
        <v>2.5359725472612564</v>
      </c>
      <c r="W25">
        <f>(LCS_Top_Aggregate_ByYear!W14-LCS_Top_Aggregate_ByYear!W17)/LCS_Top_Aggregate_ByYear!W19</f>
        <v>0.13149615251405511</v>
      </c>
      <c r="X25">
        <f>(LCS_Top_Aggregate_ByYear!X14-LCS_Top_Aggregate_ByYear!X17)/LCS_Top_Aggregate_ByYear!X19</f>
        <v>0.54902873783744033</v>
      </c>
      <c r="Y25">
        <f>(LCS_Top_Aggregate_ByYear!Y14-LCS_Top_Aggregate_ByYear!Y17)/LCS_Top_Aggregate_ByYear!Y19</f>
        <v>-0.93080411633377591</v>
      </c>
      <c r="Z25">
        <f>(LCS_Top_Aggregate_ByYear!Z14-LCS_Top_Aggregate_ByYear!Z17)/LCS_Top_Aggregate_ByYear!Z19</f>
        <v>-1.7942858737210741</v>
      </c>
      <c r="AA25">
        <f>(LCS_Top_Aggregate_ByYear!AA14-LCS_Top_Aggregate_ByYear!AA17)/LCS_Top_Aggregate_ByYear!AA19</f>
        <v>-0.52615221960198066</v>
      </c>
      <c r="AB25">
        <f>(LCS_Top_Aggregate_ByYear!AB14-LCS_Top_Aggregate_ByYear!AB17)/LCS_Top_Aggregate_ByYear!AB19</f>
        <v>1.9376007514255107</v>
      </c>
      <c r="AC25">
        <f>(LCS_Top_Aggregate_ByYear!AC14-LCS_Top_Aggregate_ByYear!AC17)/LCS_Top_Aggregate_ByYear!AC19</f>
        <v>1.1284989351804844</v>
      </c>
      <c r="AD25">
        <f>(LCS_Top_Aggregate_ByYear!AD14-LCS_Top_Aggregate_ByYear!AD17)/LCS_Top_Aggregate_ByYear!AD19</f>
        <v>0.6845894166674954</v>
      </c>
      <c r="AE25">
        <f>(LCS_Top_Aggregate_ByYear!AE14-LCS_Top_Aggregate_ByYear!AE17)/LCS_Top_Aggregate_ByYear!AE19</f>
        <v>0.31535515300614436</v>
      </c>
      <c r="AF25">
        <f>(LCS_Top_Aggregate_ByYear!AF14-LCS_Top_Aggregate_ByYear!AF17)/LCS_Top_Aggregate_ByYear!AF19</f>
        <v>0.38343879285766336</v>
      </c>
      <c r="AG25">
        <f>(LCS_Top_Aggregate_ByYear!AG14-LCS_Top_Aggregate_ByYear!AG17)/LCS_Top_Aggregate_ByYear!AG19</f>
        <v>0.28885570815600281</v>
      </c>
      <c r="AH25">
        <f>(LCS_Top_Aggregate_ByYear!AH14-LCS_Top_Aggregate_ByYear!AH17)/LCS_Top_Aggregate_ByYear!AH19</f>
        <v>1.1034428897193818</v>
      </c>
      <c r="AI25">
        <f>(LCS_Top_Aggregate_ByYear!AI14-LCS_Top_Aggregate_ByYear!AI17)/LCS_Top_Aggregate_ByYear!AI19</f>
        <v>-0.78689638461963174</v>
      </c>
      <c r="AJ25">
        <f>(LCS_Top_Aggregate_ByYear!AJ14-LCS_Top_Aggregate_ByYear!AJ17)/LCS_Top_Aggregate_ByYear!AJ19</f>
        <v>0.38398615102210581</v>
      </c>
      <c r="AK25">
        <f>(LCS_Top_Aggregate_ByYear!AK14-LCS_Top_Aggregate_ByYear!AK17)/LCS_Top_Aggregate_ByYear!AK19</f>
        <v>-0.60219917435145676</v>
      </c>
      <c r="AL25">
        <f>(LCS_Top_Aggregate_ByYear!AL14-LCS_Top_Aggregate_ByYear!AL17)/LCS_Top_Aggregate_ByYear!AL19</f>
        <v>0.72322967351707135</v>
      </c>
      <c r="AM25">
        <f>(LCS_Top_Aggregate_ByYear!AM14-LCS_Top_Aggregate_ByYear!AM17)/LCS_Top_Aggregate_ByYear!AM19</f>
        <v>-1.7503501050350131E-2</v>
      </c>
    </row>
    <row r="26" spans="1:39" x14ac:dyDescent="0.25">
      <c r="A26" t="s">
        <v>37</v>
      </c>
      <c r="B26">
        <v>2021</v>
      </c>
      <c r="C26">
        <v>1</v>
      </c>
      <c r="D26">
        <v>1</v>
      </c>
      <c r="E26">
        <v>3.5</v>
      </c>
      <c r="F26">
        <v>8.5</v>
      </c>
      <c r="G26" s="1">
        <v>3.1</v>
      </c>
      <c r="H26">
        <v>4.3478500000000002</v>
      </c>
      <c r="I26" s="2">
        <v>4.3478500000000002</v>
      </c>
      <c r="J26" s="1">
        <v>0.178752996027469</v>
      </c>
      <c r="K26">
        <v>0.182651996612548</v>
      </c>
      <c r="L26" s="1">
        <v>1.02140108333528</v>
      </c>
      <c r="M26" s="1">
        <v>86.173507244185899</v>
      </c>
      <c r="N26">
        <v>207</v>
      </c>
      <c r="O26">
        <v>10718.5</v>
      </c>
      <c r="P26">
        <v>23586</v>
      </c>
      <c r="Q26">
        <v>2.1384500000000002</v>
      </c>
      <c r="R26">
        <v>8876.5</v>
      </c>
      <c r="S26">
        <v>478.605712890625</v>
      </c>
      <c r="T26">
        <v>1923.5</v>
      </c>
      <c r="U26">
        <v>14.7039041247006</v>
      </c>
      <c r="V26">
        <v>3100</v>
      </c>
      <c r="W26">
        <v>4380.5</v>
      </c>
      <c r="X26">
        <v>78</v>
      </c>
      <c r="Y26">
        <v>3499</v>
      </c>
      <c r="Z26">
        <v>5029</v>
      </c>
      <c r="AA26">
        <v>93.5</v>
      </c>
      <c r="AB26">
        <v>-399</v>
      </c>
      <c r="AC26">
        <v>-648.5</v>
      </c>
      <c r="AD26">
        <v>-15.5</v>
      </c>
      <c r="AE26">
        <v>4827</v>
      </c>
      <c r="AF26">
        <v>7228.5</v>
      </c>
      <c r="AG26">
        <v>120.5</v>
      </c>
      <c r="AH26">
        <v>5128.5</v>
      </c>
      <c r="AI26">
        <v>7493</v>
      </c>
      <c r="AJ26">
        <v>131</v>
      </c>
      <c r="AK26">
        <v>-301.5</v>
      </c>
      <c r="AL26">
        <v>-264.5</v>
      </c>
      <c r="AM26">
        <v>-10.5</v>
      </c>
    </row>
    <row r="27" spans="1:39" x14ac:dyDescent="0.25">
      <c r="A27" t="s">
        <v>37</v>
      </c>
      <c r="B27">
        <v>2021</v>
      </c>
      <c r="C27">
        <v>0</v>
      </c>
      <c r="D27">
        <v>1.6667000000000001</v>
      </c>
      <c r="E27">
        <v>3.3332999999999999</v>
      </c>
      <c r="F27">
        <v>1</v>
      </c>
      <c r="G27" s="1">
        <v>0.77776666999999999</v>
      </c>
      <c r="H27">
        <v>33.333333330000002</v>
      </c>
      <c r="I27" s="2">
        <v>33.333333330000002</v>
      </c>
      <c r="J27" s="1">
        <v>0.24568133552869101</v>
      </c>
      <c r="K27">
        <v>0.29385400315125698</v>
      </c>
      <c r="L27" s="1">
        <v>1.21807437007847</v>
      </c>
      <c r="M27" s="1">
        <v>64.120940379555094</v>
      </c>
      <c r="N27">
        <v>248.66669999999999</v>
      </c>
      <c r="O27">
        <v>10638.3333</v>
      </c>
      <c r="P27">
        <v>29444</v>
      </c>
      <c r="Q27">
        <v>2.69703333</v>
      </c>
      <c r="R27">
        <v>3759</v>
      </c>
      <c r="S27">
        <v>384.49986775716098</v>
      </c>
      <c r="T27">
        <v>1760</v>
      </c>
      <c r="U27">
        <v>13.178723243008699</v>
      </c>
      <c r="V27">
        <v>3395.3332999999998</v>
      </c>
      <c r="W27">
        <v>4804</v>
      </c>
      <c r="X27">
        <v>87</v>
      </c>
      <c r="Y27">
        <v>3221</v>
      </c>
      <c r="Z27">
        <v>4463</v>
      </c>
      <c r="AA27">
        <v>76.666700000000006</v>
      </c>
      <c r="AB27">
        <v>174.33330000000001</v>
      </c>
      <c r="AC27">
        <v>341</v>
      </c>
      <c r="AD27">
        <v>10.333299999999999</v>
      </c>
      <c r="AE27">
        <v>5218.6666999999998</v>
      </c>
      <c r="AF27">
        <v>7273</v>
      </c>
      <c r="AG27">
        <v>133.66669999999999</v>
      </c>
      <c r="AH27">
        <v>5344</v>
      </c>
      <c r="AI27">
        <v>7290</v>
      </c>
      <c r="AJ27">
        <v>127.33329999999999</v>
      </c>
      <c r="AK27">
        <v>-125.33329999999999</v>
      </c>
      <c r="AL27">
        <v>-17</v>
      </c>
      <c r="AM27">
        <v>6.3333000000000004</v>
      </c>
    </row>
    <row r="28" spans="1:39" x14ac:dyDescent="0.25">
      <c r="A28" t="s">
        <v>38</v>
      </c>
      <c r="B28">
        <v>2021</v>
      </c>
      <c r="C28">
        <v>1</v>
      </c>
      <c r="D28">
        <v>2.9355000000000002</v>
      </c>
      <c r="E28">
        <v>1.5323</v>
      </c>
      <c r="F28">
        <v>7.1452</v>
      </c>
      <c r="G28" s="1">
        <v>5.15650488</v>
      </c>
      <c r="H28">
        <v>18.42071786</v>
      </c>
      <c r="I28" s="2">
        <v>18.42071786</v>
      </c>
      <c r="J28" s="1">
        <v>0.218295484661094</v>
      </c>
      <c r="K28">
        <v>0.212897353715473</v>
      </c>
      <c r="L28" s="1">
        <v>0.97595666427014105</v>
      </c>
      <c r="M28" s="1">
        <v>64.699023417353104</v>
      </c>
      <c r="N28">
        <v>267.82260000000002</v>
      </c>
      <c r="O28">
        <v>13699.789500000001</v>
      </c>
      <c r="P28">
        <v>22690.1754</v>
      </c>
      <c r="Q28">
        <v>1.6572280699999999</v>
      </c>
      <c r="R28">
        <v>12447.8421</v>
      </c>
      <c r="S28">
        <v>445.093993156186</v>
      </c>
      <c r="T28">
        <v>1981.7097000000001</v>
      </c>
      <c r="U28">
        <v>13.829314422539699</v>
      </c>
      <c r="V28">
        <v>3227.8386999999998</v>
      </c>
      <c r="W28">
        <v>4426.9677000000001</v>
      </c>
      <c r="X28">
        <v>74.645200000000003</v>
      </c>
      <c r="Y28">
        <v>3203.1774</v>
      </c>
      <c r="Z28">
        <v>4390.5968000000003</v>
      </c>
      <c r="AA28">
        <v>75.225800000000007</v>
      </c>
      <c r="AB28">
        <v>24.661300000000001</v>
      </c>
      <c r="AC28">
        <v>36.371000000000002</v>
      </c>
      <c r="AD28">
        <v>-0.5806</v>
      </c>
      <c r="AE28">
        <v>5127.5968000000003</v>
      </c>
      <c r="AF28">
        <v>7084.1935000000003</v>
      </c>
      <c r="AG28">
        <v>120.5968</v>
      </c>
      <c r="AH28">
        <v>5077.1129000000001</v>
      </c>
      <c r="AI28">
        <v>6870.4354999999996</v>
      </c>
      <c r="AJ28">
        <v>118.9194</v>
      </c>
      <c r="AK28">
        <v>50.483899999999998</v>
      </c>
      <c r="AL28">
        <v>213.75810000000001</v>
      </c>
      <c r="AM28">
        <v>1.6774</v>
      </c>
    </row>
    <row r="29" spans="1:39" x14ac:dyDescent="0.25">
      <c r="A29" t="s">
        <v>38</v>
      </c>
      <c r="B29">
        <v>2021</v>
      </c>
      <c r="C29">
        <v>0</v>
      </c>
      <c r="D29">
        <v>1.4194</v>
      </c>
      <c r="E29">
        <v>3.3226</v>
      </c>
      <c r="F29">
        <v>3.0644999999999998</v>
      </c>
      <c r="G29" s="1">
        <v>1.82084194</v>
      </c>
      <c r="H29">
        <v>19.548200000000001</v>
      </c>
      <c r="I29" s="2">
        <v>19.548200000000001</v>
      </c>
      <c r="J29" s="1">
        <v>0.23131479010466599</v>
      </c>
      <c r="K29">
        <v>0.24911059931881899</v>
      </c>
      <c r="L29" s="1">
        <v>1.06994771631602</v>
      </c>
      <c r="M29" s="1">
        <v>71.770149259998405</v>
      </c>
      <c r="N29">
        <v>254.16130000000001</v>
      </c>
      <c r="O29">
        <v>11959.6981</v>
      </c>
      <c r="P29">
        <v>23094.452799999999</v>
      </c>
      <c r="Q29">
        <v>1.9659452799999999</v>
      </c>
      <c r="R29">
        <v>6837.2263999999996</v>
      </c>
      <c r="S29">
        <v>415.54926632296599</v>
      </c>
      <c r="T29">
        <v>1981.7097000000001</v>
      </c>
      <c r="U29">
        <v>12.810229883439501</v>
      </c>
      <c r="V29">
        <v>3203.1774</v>
      </c>
      <c r="W29">
        <v>4390.5968000000003</v>
      </c>
      <c r="X29">
        <v>75.225800000000007</v>
      </c>
      <c r="Y29">
        <v>3227.8386999999998</v>
      </c>
      <c r="Z29">
        <v>4426.9677000000001</v>
      </c>
      <c r="AA29">
        <v>74.645200000000003</v>
      </c>
      <c r="AB29">
        <v>-24.661300000000001</v>
      </c>
      <c r="AC29">
        <v>-36.371000000000002</v>
      </c>
      <c r="AD29">
        <v>0.5806</v>
      </c>
      <c r="AE29">
        <v>5077.1129000000001</v>
      </c>
      <c r="AF29">
        <v>6870.4354999999996</v>
      </c>
      <c r="AG29">
        <v>118.9194</v>
      </c>
      <c r="AH29">
        <v>5127.5968000000003</v>
      </c>
      <c r="AI29">
        <v>7084.1935000000003</v>
      </c>
      <c r="AJ29">
        <v>120.5968</v>
      </c>
      <c r="AK29">
        <v>-50.483899999999998</v>
      </c>
      <c r="AL29">
        <v>-213.75810000000001</v>
      </c>
      <c r="AM29">
        <v>-1.6774</v>
      </c>
    </row>
    <row r="30" spans="1:39" x14ac:dyDescent="0.25">
      <c r="A30" t="s">
        <v>39</v>
      </c>
      <c r="B30">
        <v>2021</v>
      </c>
      <c r="C30">
        <v>1</v>
      </c>
      <c r="D30">
        <v>1.81277694428736</v>
      </c>
      <c r="E30">
        <v>1.3645008769070499</v>
      </c>
      <c r="F30">
        <v>3.0735435795309201</v>
      </c>
      <c r="G30" s="1">
        <v>2.4756397932061298</v>
      </c>
      <c r="H30">
        <v>10.029369910628199</v>
      </c>
      <c r="I30" s="2">
        <v>10.029369910628199</v>
      </c>
      <c r="J30" s="1">
        <v>3.64035844013927E-2</v>
      </c>
      <c r="K30">
        <v>6.1975239470217103E-2</v>
      </c>
      <c r="L30" s="1">
        <v>0.23550024149073001</v>
      </c>
      <c r="M30" s="1">
        <v>19.898967888863002</v>
      </c>
      <c r="N30">
        <v>66.2367513699905</v>
      </c>
      <c r="O30">
        <v>2655.46022533011</v>
      </c>
      <c r="P30">
        <v>8785.6308945251803</v>
      </c>
      <c r="Q30">
        <v>0.56339215807387499</v>
      </c>
      <c r="R30">
        <v>7237.7937822735903</v>
      </c>
      <c r="S30">
        <v>156.68247133642399</v>
      </c>
      <c r="T30">
        <v>331.90274455302603</v>
      </c>
      <c r="U30">
        <v>5.3692721293771397</v>
      </c>
      <c r="V30">
        <v>288.22427387357197</v>
      </c>
      <c r="W30">
        <v>444.30206114766298</v>
      </c>
      <c r="X30">
        <v>13.9793589476373</v>
      </c>
      <c r="Y30">
        <v>280.88308463139902</v>
      </c>
      <c r="Z30">
        <v>429.80987768702499</v>
      </c>
      <c r="AA30">
        <v>11.698386096075801</v>
      </c>
      <c r="AB30">
        <v>453.769727858652</v>
      </c>
      <c r="AC30">
        <v>456.52912968824</v>
      </c>
      <c r="AD30">
        <v>14.3510687329311</v>
      </c>
      <c r="AE30">
        <v>509.99995128644298</v>
      </c>
      <c r="AF30">
        <v>696.99988056438201</v>
      </c>
      <c r="AG30">
        <v>21.272775026688599</v>
      </c>
      <c r="AH30">
        <v>517.46722211415397</v>
      </c>
      <c r="AI30">
        <v>656.345026814986</v>
      </c>
      <c r="AJ30">
        <v>16.9898436331986</v>
      </c>
      <c r="AK30">
        <v>789.11998233098097</v>
      </c>
      <c r="AL30">
        <v>746.52914480806896</v>
      </c>
      <c r="AM30">
        <v>21.9873674828102</v>
      </c>
    </row>
    <row r="31" spans="1:39" x14ac:dyDescent="0.25">
      <c r="A31" t="s">
        <v>39</v>
      </c>
      <c r="B31">
        <v>2021</v>
      </c>
      <c r="C31">
        <v>0</v>
      </c>
      <c r="D31">
        <v>1.4761369275674201</v>
      </c>
      <c r="E31">
        <v>1.69224219981987</v>
      </c>
      <c r="F31">
        <v>2.7583946227654099</v>
      </c>
      <c r="G31" s="1">
        <v>2.07210894797237</v>
      </c>
      <c r="H31">
        <v>19.790834706635302</v>
      </c>
      <c r="I31" s="2">
        <v>19.790834706635302</v>
      </c>
      <c r="J31" s="1">
        <v>3.77832290096397E-2</v>
      </c>
      <c r="K31">
        <v>8.3027074413540305E-2</v>
      </c>
      <c r="L31" s="1">
        <v>0.29055313356433898</v>
      </c>
      <c r="M31" s="1">
        <v>22.860573089202799</v>
      </c>
      <c r="N31">
        <v>56.176620538345396</v>
      </c>
      <c r="O31">
        <v>2837.4272201448698</v>
      </c>
      <c r="P31">
        <v>7953.7505536958097</v>
      </c>
      <c r="Q31">
        <v>0.60438992384622703</v>
      </c>
      <c r="R31">
        <v>5801.1463006518197</v>
      </c>
      <c r="S31">
        <v>164.59841312236799</v>
      </c>
      <c r="T31">
        <v>331.90274455302603</v>
      </c>
      <c r="U31">
        <v>5.24289045750794</v>
      </c>
      <c r="V31">
        <v>280.88308463139902</v>
      </c>
      <c r="W31">
        <v>429.80987768702602</v>
      </c>
      <c r="X31">
        <v>11.698386096075801</v>
      </c>
      <c r="Y31">
        <v>288.22427387357197</v>
      </c>
      <c r="Z31">
        <v>444.30206114766298</v>
      </c>
      <c r="AA31">
        <v>13.9793589476373</v>
      </c>
      <c r="AB31">
        <v>453.769727858652</v>
      </c>
      <c r="AC31">
        <v>456.52912968824</v>
      </c>
      <c r="AD31">
        <v>14.3510687329311</v>
      </c>
      <c r="AE31">
        <v>517.46722211415295</v>
      </c>
      <c r="AF31">
        <v>656.34502681498702</v>
      </c>
      <c r="AG31">
        <v>16.9898436331986</v>
      </c>
      <c r="AH31">
        <v>509.99995128644298</v>
      </c>
      <c r="AI31">
        <v>696.99988056438201</v>
      </c>
      <c r="AJ31">
        <v>21.272775026688599</v>
      </c>
      <c r="AK31">
        <v>789.11998233098097</v>
      </c>
      <c r="AL31">
        <v>746.52914480806896</v>
      </c>
      <c r="AM31">
        <v>21.9873674828102</v>
      </c>
    </row>
    <row r="32" spans="1:39" x14ac:dyDescent="0.25">
      <c r="A32" t="s">
        <v>41</v>
      </c>
      <c r="B32">
        <v>2021</v>
      </c>
      <c r="C32">
        <v>1</v>
      </c>
      <c r="D32">
        <f>(LCS_Top_Aggregate_ByYear!D20-LCS_Top_Aggregate_ByYear!D22)/LCS_Top_Aggregate_ByYear!D24</f>
        <v>-1.0676989279345039</v>
      </c>
      <c r="E32">
        <f>(LCS_Top_Aggregate_ByYear!E20-LCS_Top_Aggregate_ByYear!E22)/LCS_Top_Aggregate_ByYear!E24</f>
        <v>1.4420657643403187</v>
      </c>
      <c r="F32">
        <f>(LCS_Top_Aggregate_ByYear!F20-LCS_Top_Aggregate_ByYear!F22)/LCS_Top_Aggregate_ByYear!F24</f>
        <v>0.4407941403605436</v>
      </c>
      <c r="G32">
        <f>(LCS_Top_Aggregate_ByYear!G20-LCS_Top_Aggregate_ByYear!G22)/LCS_Top_Aggregate_ByYear!G24</f>
        <v>-0.83069632571089014</v>
      </c>
      <c r="H32">
        <f>(LCS_Top_Aggregate_ByYear!H20-LCS_Top_Aggregate_ByYear!H22)/LCS_Top_Aggregate_ByYear!H24</f>
        <v>-1.403165700876869</v>
      </c>
      <c r="I32">
        <f>(I26-I28)/I30</f>
        <v>-1.403165700876869</v>
      </c>
      <c r="J32">
        <f>(LCS_Top_Aggregate_ByYear!J20-LCS_Top_Aggregate_ByYear!J22)/LCS_Top_Aggregate_ByYear!J24</f>
        <v>-1.0862251419426767</v>
      </c>
      <c r="K32">
        <f>(LCS_Top_Aggregate_ByYear!K20-LCS_Top_Aggregate_ByYear!K22)/LCS_Top_Aggregate_ByYear!K24</f>
        <v>-0.48802323898175093</v>
      </c>
      <c r="L32">
        <f>(LCS_Top_Aggregate_ByYear!L20-LCS_Top_Aggregate_ByYear!L22)/LCS_Top_Aggregate_ByYear!L24</f>
        <v>0.19296973445748161</v>
      </c>
      <c r="M32">
        <f>(LCS_Top_Aggregate_ByYear!M20-LCS_Top_Aggregate_ByYear!M22)/LCS_Top_Aggregate_ByYear!M24</f>
        <v>1.0791757616158362</v>
      </c>
      <c r="N32">
        <f>(LCS_Top_Aggregate_ByYear!N20-LCS_Top_Aggregate_ByYear!N22)/LCS_Top_Aggregate_ByYear!N24</f>
        <v>-0.91826061426612426</v>
      </c>
      <c r="O32">
        <f>(LCS_Top_Aggregate_ByYear!O20-LCS_Top_Aggregate_ByYear!O22)/LCS_Top_Aggregate_ByYear!O24</f>
        <v>-1.1227016211961471</v>
      </c>
      <c r="P32">
        <f>(LCS_Top_Aggregate_ByYear!P20-LCS_Top_Aggregate_ByYear!P22)/LCS_Top_Aggregate_ByYear!P24</f>
        <v>0.10196474342647817</v>
      </c>
      <c r="Q32">
        <f>(LCS_Top_Aggregate_ByYear!Q20-LCS_Top_Aggregate_ByYear!Q22)/LCS_Top_Aggregate_ByYear!Q24</f>
        <v>0.85415091975224089</v>
      </c>
      <c r="R32">
        <f>(LCS_Top_Aggregate_ByYear!R20-LCS_Top_Aggregate_ByYear!R22)/LCS_Top_Aggregate_ByYear!R24</f>
        <v>-0.49342965652692899</v>
      </c>
      <c r="S32">
        <f>(LCS_Top_Aggregate_ByYear!S20-LCS_Top_Aggregate_ByYear!S22)/LCS_Top_Aggregate_ByYear!S24</f>
        <v>0.21388301734457341</v>
      </c>
      <c r="T32">
        <f>(LCS_Top_Aggregate_ByYear!T20-LCS_Top_Aggregate_ByYear!T22)/LCS_Top_Aggregate_ByYear!T24</f>
        <v>-0.17538179769616311</v>
      </c>
      <c r="U32">
        <f>(LCS_Top_Aggregate_ByYear!U20-LCS_Top_Aggregate_ByYear!U22)/LCS_Top_Aggregate_ByYear!U24</f>
        <v>0.16288794478784535</v>
      </c>
      <c r="V32">
        <f>(LCS_Top_Aggregate_ByYear!V20-LCS_Top_Aggregate_ByYear!V22)/LCS_Top_Aggregate_ByYear!V24</f>
        <v>-0.44353897845562984</v>
      </c>
      <c r="W32">
        <f>(LCS_Top_Aggregate_ByYear!W20-LCS_Top_Aggregate_ByYear!W22)/LCS_Top_Aggregate_ByYear!W24</f>
        <v>-0.10458583036948076</v>
      </c>
      <c r="X32">
        <f>(LCS_Top_Aggregate_ByYear!X20-LCS_Top_Aggregate_ByYear!X22)/LCS_Top_Aggregate_ByYear!X24</f>
        <v>0.23998239208007488</v>
      </c>
      <c r="Y32">
        <f>(LCS_Top_Aggregate_ByYear!Y20-LCS_Top_Aggregate_ByYear!Y22)/LCS_Top_Aggregate_ByYear!Y24</f>
        <v>1.0531876648542435</v>
      </c>
      <c r="Z32">
        <f>(LCS_Top_Aggregate_ByYear!Z20-LCS_Top_Aggregate_ByYear!Z22)/LCS_Top_Aggregate_ByYear!Z24</f>
        <v>1.4853153292695296</v>
      </c>
      <c r="AA32">
        <f>(LCS_Top_Aggregate_ByYear!AA20-LCS_Top_Aggregate_ByYear!AA22)/LCS_Top_Aggregate_ByYear!AA24</f>
        <v>1.5621129145438306</v>
      </c>
      <c r="AB32">
        <f>(LCS_Top_Aggregate_ByYear!AB20-LCS_Top_Aggregate_ByYear!AB22)/LCS_Top_Aggregate_ByYear!AB24</f>
        <v>-0.93364822285361726</v>
      </c>
      <c r="AC32">
        <f>(LCS_Top_Aggregate_ByYear!AC20-LCS_Top_Aggregate_ByYear!AC22)/LCS_Top_Aggregate_ByYear!AC24</f>
        <v>-1.5001693330449533</v>
      </c>
      <c r="AD32">
        <f>(LCS_Top_Aggregate_ByYear!AD20-LCS_Top_Aggregate_ByYear!AD22)/LCS_Top_Aggregate_ByYear!AD24</f>
        <v>-1.039602016940018</v>
      </c>
      <c r="AE32">
        <f>(LCS_Top_Aggregate_ByYear!AE20-LCS_Top_Aggregate_ByYear!AE22)/LCS_Top_Aggregate_ByYear!AE24</f>
        <v>-0.58940554649419796</v>
      </c>
      <c r="AF32">
        <f>(LCS_Top_Aggregate_ByYear!AF20-LCS_Top_Aggregate_ByYear!AF22)/LCS_Top_Aggregate_ByYear!AF24</f>
        <v>0.20703949028391558</v>
      </c>
      <c r="AG32">
        <f>(LCS_Top_Aggregate_ByYear!AG20-LCS_Top_Aggregate_ByYear!AG22)/LCS_Top_Aggregate_ByYear!AG24</f>
        <v>-4.5504171354493013E-3</v>
      </c>
      <c r="AH32">
        <f>(LCS_Top_Aggregate_ByYear!AH20-LCS_Top_Aggregate_ByYear!AH22)/LCS_Top_Aggregate_ByYear!AH24</f>
        <v>9.9305033833937906E-2</v>
      </c>
      <c r="AI32">
        <f>(LCS_Top_Aggregate_ByYear!AI20-LCS_Top_Aggregate_ByYear!AI22)/LCS_Top_Aggregate_ByYear!AI24</f>
        <v>0.94853236417603293</v>
      </c>
      <c r="AJ32">
        <f>(LCS_Top_Aggregate_ByYear!AJ20-LCS_Top_Aggregate_ByYear!AJ22)/LCS_Top_Aggregate_ByYear!AJ24</f>
        <v>0.71104833339338069</v>
      </c>
      <c r="AK32">
        <f>(LCS_Top_Aggregate_ByYear!AK20-LCS_Top_Aggregate_ByYear!AK22)/LCS_Top_Aggregate_ByYear!AK24</f>
        <v>-0.44604611197434768</v>
      </c>
      <c r="AL32">
        <f>(LCS_Top_Aggregate_ByYear!AL20-LCS_Top_Aggregate_ByYear!AL22)/LCS_Top_Aggregate_ByYear!AL24</f>
        <v>-0.64064223523779384</v>
      </c>
      <c r="AM32">
        <f>(LCS_Top_Aggregate_ByYear!AM20-LCS_Top_Aggregate_ByYear!AM22)/LCS_Top_Aggregate_ByYear!AM24</f>
        <v>-0.55383619751297353</v>
      </c>
    </row>
    <row r="33" spans="1:39" x14ac:dyDescent="0.25">
      <c r="A33" t="s">
        <v>41</v>
      </c>
      <c r="B33">
        <v>2021</v>
      </c>
      <c r="C33">
        <v>0</v>
      </c>
      <c r="D33">
        <f>(LCS_Top_Aggregate_ByYear!D21-LCS_Top_Aggregate_ByYear!D23)/LCS_Top_Aggregate_ByYear!D25</f>
        <v>0.16753188364953026</v>
      </c>
      <c r="E33">
        <f>(LCS_Top_Aggregate_ByYear!E21-LCS_Top_Aggregate_ByYear!E23)/LCS_Top_Aggregate_ByYear!E25</f>
        <v>6.3229719724155848E-3</v>
      </c>
      <c r="F33">
        <f>(LCS_Top_Aggregate_ByYear!F21-LCS_Top_Aggregate_ByYear!F23)/LCS_Top_Aggregate_ByYear!F25</f>
        <v>-0.74844258430660993</v>
      </c>
      <c r="G33">
        <f>(LCS_Top_Aggregate_ByYear!G21-LCS_Top_Aggregate_ByYear!G23)/LCS_Top_Aggregate_ByYear!G25</f>
        <v>-0.50338823690746826</v>
      </c>
      <c r="H33">
        <f>(LCS_Top_Aggregate_ByYear!H21-LCS_Top_Aggregate_ByYear!H23)/LCS_Top_Aggregate_ByYear!H25</f>
        <v>0.69654127955392597</v>
      </c>
      <c r="I33">
        <f>(I27-I29)/I31</f>
        <v>0.69654127955392597</v>
      </c>
      <c r="J33">
        <f>(LCS_Top_Aggregate_ByYear!J21-LCS_Top_Aggregate_ByYear!J23)/LCS_Top_Aggregate_ByYear!J25</f>
        <v>0.38023604124358074</v>
      </c>
      <c r="K33">
        <f>(LCS_Top_Aggregate_ByYear!K21-LCS_Top_Aggregate_ByYear!K23)/LCS_Top_Aggregate_ByYear!K25</f>
        <v>0.53890136619267781</v>
      </c>
      <c r="L33">
        <f>(LCS_Top_Aggregate_ByYear!L21-LCS_Top_Aggregate_ByYear!L23)/LCS_Top_Aggregate_ByYear!L25</f>
        <v>0.50980917653620605</v>
      </c>
      <c r="M33">
        <f>(LCS_Top_Aggregate_ByYear!M21-LCS_Top_Aggregate_ByYear!M23)/LCS_Top_Aggregate_ByYear!M25</f>
        <v>-0.33460267380856185</v>
      </c>
      <c r="N33">
        <f>(LCS_Top_Aggregate_ByYear!N21-LCS_Top_Aggregate_ByYear!N23)/LCS_Top_Aggregate_ByYear!N25</f>
        <v>-9.7809372428330404E-2</v>
      </c>
      <c r="O33">
        <f>(LCS_Top_Aggregate_ByYear!O21-LCS_Top_Aggregate_ByYear!O23)/LCS_Top_Aggregate_ByYear!O25</f>
        <v>-0.46569116931659477</v>
      </c>
      <c r="P33">
        <f>(LCS_Top_Aggregate_ByYear!P21-LCS_Top_Aggregate_ByYear!P23)/LCS_Top_Aggregate_ByYear!P25</f>
        <v>0.79830856614551537</v>
      </c>
      <c r="Q33">
        <f>(LCS_Top_Aggregate_ByYear!Q21-LCS_Top_Aggregate_ByYear!Q23)/LCS_Top_Aggregate_ByYear!Q25</f>
        <v>1.2096297789802473</v>
      </c>
      <c r="R33">
        <f>(LCS_Top_Aggregate_ByYear!R21-LCS_Top_Aggregate_ByYear!R23)/LCS_Top_Aggregate_ByYear!R25</f>
        <v>-0.53062381820195237</v>
      </c>
      <c r="S33">
        <f>(LCS_Top_Aggregate_ByYear!S21-LCS_Top_Aggregate_ByYear!S23)/LCS_Top_Aggregate_ByYear!S25</f>
        <v>-0.18863728985480463</v>
      </c>
      <c r="T33">
        <f>(LCS_Top_Aggregate_ByYear!T21-LCS_Top_Aggregate_ByYear!T23)/LCS_Top_Aggregate_ByYear!T25</f>
        <v>-0.66799598267431304</v>
      </c>
      <c r="U33">
        <f>(LCS_Top_Aggregate_ByYear!U21-LCS_Top_Aggregate_ByYear!U23)/LCS_Top_Aggregate_ByYear!U25</f>
        <v>7.0284390367436986E-2</v>
      </c>
      <c r="V33">
        <f>(LCS_Top_Aggregate_ByYear!V21-LCS_Top_Aggregate_ByYear!V23)/LCS_Top_Aggregate_ByYear!V25</f>
        <v>0.68411346397795592</v>
      </c>
      <c r="W33">
        <f>(LCS_Top_Aggregate_ByYear!W21-LCS_Top_Aggregate_ByYear!W23)/LCS_Top_Aggregate_ByYear!W25</f>
        <v>0.96182805808159422</v>
      </c>
      <c r="X33">
        <f>(LCS_Top_Aggregate_ByYear!X21-LCS_Top_Aggregate_ByYear!X23)/LCS_Top_Aggregate_ByYear!X25</f>
        <v>1.0064807148013026</v>
      </c>
      <c r="Y33">
        <f>(LCS_Top_Aggregate_ByYear!Y21-LCS_Top_Aggregate_ByYear!Y23)/LCS_Top_Aggregate_ByYear!Y25</f>
        <v>-2.3727009207418624E-2</v>
      </c>
      <c r="Z33">
        <f>(LCS_Top_Aggregate_ByYear!Z21-LCS_Top_Aggregate_ByYear!Z23)/LCS_Top_Aggregate_ByYear!Z25</f>
        <v>8.109865596150044E-2</v>
      </c>
      <c r="AA33">
        <f>(LCS_Top_Aggregate_ByYear!AA21-LCS_Top_Aggregate_ByYear!AA23)/LCS_Top_Aggregate_ByYear!AA25</f>
        <v>0.14460605865919654</v>
      </c>
      <c r="AB33">
        <f>(LCS_Top_Aggregate_ByYear!AB21-LCS_Top_Aggregate_ByYear!AB23)/LCS_Top_Aggregate_ByYear!AB25</f>
        <v>0.43853652586976072</v>
      </c>
      <c r="AC33">
        <f>(LCS_Top_Aggregate_ByYear!AC21-LCS_Top_Aggregate_ByYear!AC23)/LCS_Top_Aggregate_ByYear!AC25</f>
        <v>0.82660880863769537</v>
      </c>
      <c r="AD33">
        <f>(LCS_Top_Aggregate_ByYear!AD21-LCS_Top_Aggregate_ByYear!AD23)/LCS_Top_Aggregate_ByYear!AD25</f>
        <v>0.67958004950674367</v>
      </c>
      <c r="AE33">
        <f>(LCS_Top_Aggregate_ByYear!AE21-LCS_Top_Aggregate_ByYear!AE23)/LCS_Top_Aggregate_ByYear!AE25</f>
        <v>0.27355123948077431</v>
      </c>
      <c r="AF33">
        <f>(LCS_Top_Aggregate_ByYear!AF21-LCS_Top_Aggregate_ByYear!AF23)/LCS_Top_Aggregate_ByYear!AF25</f>
        <v>0.61334280531309149</v>
      </c>
      <c r="AG33">
        <f>(LCS_Top_Aggregate_ByYear!AG21-LCS_Top_Aggregate_ByYear!AG23)/LCS_Top_Aggregate_ByYear!AG25</f>
        <v>0.86800681150374948</v>
      </c>
      <c r="AH33">
        <f>(LCS_Top_Aggregate_ByYear!AH21-LCS_Top_Aggregate_ByYear!AH23)/LCS_Top_Aggregate_ByYear!AH25</f>
        <v>0.42432004052968281</v>
      </c>
      <c r="AI33">
        <f>(LCS_Top_Aggregate_ByYear!AI21-LCS_Top_Aggregate_ByYear!AI23)/LCS_Top_Aggregate_ByYear!AI25</f>
        <v>0.29527479952127383</v>
      </c>
      <c r="AJ33">
        <f>(LCS_Top_Aggregate_ByYear!AJ21-LCS_Top_Aggregate_ByYear!AJ23)/LCS_Top_Aggregate_ByYear!AJ25</f>
        <v>0.31667236604290933</v>
      </c>
      <c r="AK33">
        <f>(LCS_Top_Aggregate_ByYear!AK21-LCS_Top_Aggregate_ByYear!AK23)/LCS_Top_Aggregate_ByYear!AK25</f>
        <v>-9.4851735700447498E-2</v>
      </c>
      <c r="AL33">
        <f>(LCS_Top_Aggregate_ByYear!AL21-LCS_Top_Aggregate_ByYear!AL23)/LCS_Top_Aggregate_ByYear!AL25</f>
        <v>0.26356385597053428</v>
      </c>
      <c r="AM33">
        <f>(LCS_Top_Aggregate_ByYear!AM21-LCS_Top_Aggregate_ByYear!AM23)/LCS_Top_Aggregate_ByYear!AM25</f>
        <v>0.36433192860685998</v>
      </c>
    </row>
  </sheetData>
  <autoFilter ref="A1:AM3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LCS_Top_Aggregate_ByYear</vt:lpstr>
      <vt:lpstr>Normalized</vt:lpstr>
      <vt:lpstr>Pivot</vt:lpstr>
      <vt:lpstr>Combined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slusky</dc:creator>
  <cp:lastModifiedBy>sam slusky</cp:lastModifiedBy>
  <dcterms:created xsi:type="dcterms:W3CDTF">2022-02-27T16:49:24Z</dcterms:created>
  <dcterms:modified xsi:type="dcterms:W3CDTF">2022-03-30T23:27:16Z</dcterms:modified>
</cp:coreProperties>
</file>